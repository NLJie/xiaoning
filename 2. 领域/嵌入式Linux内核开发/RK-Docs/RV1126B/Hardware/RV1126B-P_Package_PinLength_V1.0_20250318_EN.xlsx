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updateLinks="never"/>
  <mc:AlternateContent xmlns:mc="http://schemas.openxmlformats.org/markup-compatibility/2006">
    <mc:Choice Requires="x15">
      <x15ac:absPath xmlns:x15ac="http://schemas.microsoft.com/office/spreadsheetml/2010/11/ac" url="E:\Linus Work\RK CPU\RV1126B\Official Release\01_Common Document\"/>
    </mc:Choice>
  </mc:AlternateContent>
  <xr:revisionPtr revIDLastSave="0" documentId="13_ncr:1_{64CFB93C-D076-4E7B-AAA7-AE3BD70DE94A}" xr6:coauthVersionLast="47" xr6:coauthVersionMax="47" xr10:uidLastSave="{00000000-0000-0000-0000-000000000000}"/>
  <bookViews>
    <workbookView xWindow="-120" yWindow="-120" windowWidth="29040" windowHeight="15720" tabRatio="852" xr2:uid="{00000000-000D-0000-FFFF-FFFF00000000}"/>
  </bookViews>
  <sheets>
    <sheet name="00.CoverPage" sheetId="1" r:id="rId1"/>
    <sheet name="01.Statement" sheetId="10" r:id="rId2"/>
    <sheet name="02.Revision History" sheetId="5" r:id="rId3"/>
    <sheet name="03.RV1126B-P Package Pin Length" sheetId="9" r:id="rId4"/>
  </sheets>
  <definedNames>
    <definedName name="_xlnm._FilterDatabase" localSheetId="3" hidden="1">'03.RV1126B-P Package Pin Length'!$A$2:$D$139</definedName>
    <definedName name="_xlnm.Print_Area" localSheetId="0">'00.CoverPage'!$A$1:$C$29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3" i="9" l="1"/>
  <c r="D122" i="9"/>
  <c r="D121" i="9"/>
  <c r="D120" i="9"/>
  <c r="D119" i="9"/>
  <c r="D118" i="9"/>
  <c r="D117" i="9"/>
  <c r="D116" i="9"/>
  <c r="D108" i="9"/>
  <c r="D107" i="9"/>
  <c r="D106" i="9"/>
  <c r="D105" i="9"/>
  <c r="D104" i="9"/>
  <c r="D103" i="9"/>
  <c r="D99" i="9"/>
  <c r="D98" i="9"/>
  <c r="D97" i="9"/>
  <c r="D96" i="9"/>
  <c r="D84" i="9"/>
  <c r="D83" i="9"/>
  <c r="D81" i="9"/>
  <c r="D80" i="9"/>
  <c r="D79" i="9"/>
  <c r="D72" i="9"/>
  <c r="D140" i="9"/>
  <c r="D141" i="9"/>
  <c r="D142" i="9"/>
  <c r="D143" i="9"/>
  <c r="D145" i="9"/>
  <c r="D146" i="9"/>
  <c r="D147" i="9"/>
  <c r="D148" i="9"/>
  <c r="D149" i="9"/>
  <c r="D150" i="9"/>
  <c r="D151" i="9"/>
  <c r="D152" i="9"/>
  <c r="D153" i="9"/>
  <c r="D154" i="9"/>
  <c r="D155" i="9"/>
  <c r="D156" i="9"/>
  <c r="D157" i="9"/>
  <c r="D158" i="9"/>
  <c r="D159" i="9"/>
  <c r="D160" i="9"/>
  <c r="D161" i="9"/>
  <c r="D162" i="9"/>
  <c r="D163" i="9"/>
  <c r="D164"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71" i="9"/>
  <c r="D62" i="9"/>
  <c r="D138" i="9"/>
  <c r="D137" i="9"/>
  <c r="D136" i="9"/>
  <c r="D135" i="9"/>
  <c r="D134" i="9"/>
  <c r="D133" i="9"/>
  <c r="D131" i="9"/>
  <c r="D130" i="9"/>
  <c r="D129" i="9"/>
  <c r="D128" i="9"/>
  <c r="D127" i="9"/>
  <c r="D126" i="9"/>
  <c r="D125"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3" i="9"/>
  <c r="D64" i="9"/>
  <c r="D65" i="9"/>
  <c r="D66" i="9"/>
  <c r="D67" i="9"/>
  <c r="D68" i="9"/>
  <c r="D69" i="9"/>
  <c r="D70" i="9"/>
  <c r="D73" i="9"/>
  <c r="D74" i="9"/>
  <c r="D75" i="9"/>
  <c r="D76" i="9"/>
  <c r="D77" i="9"/>
  <c r="D82" i="9"/>
  <c r="D85" i="9"/>
  <c r="D86" i="9"/>
  <c r="D87" i="9"/>
  <c r="D88" i="9"/>
  <c r="D90" i="9"/>
  <c r="D91" i="9"/>
  <c r="D92" i="9"/>
  <c r="D93" i="9"/>
  <c r="D94" i="9"/>
  <c r="D95" i="9"/>
  <c r="D101" i="9"/>
  <c r="D102" i="9"/>
  <c r="D109" i="9"/>
  <c r="D110" i="9"/>
  <c r="D111" i="9"/>
  <c r="D112" i="9"/>
  <c r="D114" i="9"/>
  <c r="D115" i="9"/>
</calcChain>
</file>

<file path=xl/sharedStrings.xml><?xml version="1.0" encoding="utf-8"?>
<sst xmlns="http://schemas.openxmlformats.org/spreadsheetml/2006/main" count="382" uniqueCount="382">
  <si>
    <t>Rockchip Confidential</t>
  </si>
  <si>
    <t>Revision History</t>
  </si>
  <si>
    <t>Revision</t>
  </si>
  <si>
    <t>Description</t>
  </si>
  <si>
    <t>Editor</t>
  </si>
  <si>
    <t>Revision Date</t>
  </si>
  <si>
    <t>Ball Name</t>
  </si>
  <si>
    <t>Net Name</t>
  </si>
  <si>
    <t>Package Pin Length</t>
  </si>
  <si>
    <t>Part A</t>
  </si>
  <si>
    <t>W1</t>
  </si>
  <si>
    <t>G1</t>
  </si>
  <si>
    <t>B1</t>
  </si>
  <si>
    <t>B8</t>
  </si>
  <si>
    <t>A7</t>
  </si>
  <si>
    <t>B7</t>
  </si>
  <si>
    <t>A2</t>
  </si>
  <si>
    <t>B2</t>
  </si>
  <si>
    <t>A5</t>
  </si>
  <si>
    <t>B4</t>
  </si>
  <si>
    <t>B10</t>
  </si>
  <si>
    <t>B20</t>
  </si>
  <si>
    <t>B21</t>
  </si>
  <si>
    <t>Draft</t>
    <phoneticPr fontId="35" type="noConversion"/>
  </si>
  <si>
    <t>T1</t>
  </si>
  <si>
    <t>N1</t>
  </si>
  <si>
    <t>K1</t>
  </si>
  <si>
    <t>B11</t>
  </si>
  <si>
    <t>A11</t>
  </si>
  <si>
    <r>
      <t>Unite: um(microns</t>
    </r>
    <r>
      <rPr>
        <sz val="12"/>
        <color theme="1"/>
        <rFont val="宋体"/>
        <family val="3"/>
        <charset val="134"/>
      </rPr>
      <t>）</t>
    </r>
    <phoneticPr fontId="35" type="noConversion"/>
  </si>
  <si>
    <t>mil</t>
    <phoneticPr fontId="35" type="noConversion"/>
  </si>
  <si>
    <r>
      <rPr>
        <b/>
        <sz val="10"/>
        <rFont val="宋体"/>
        <family val="3"/>
        <charset val="134"/>
      </rPr>
      <t>保密提示：</t>
    </r>
    <r>
      <rPr>
        <sz val="10"/>
        <rFont val="Verdana"/>
        <family val="2"/>
      </rPr>
      <t xml:space="preserve">
</t>
    </r>
    <r>
      <rPr>
        <sz val="10"/>
        <rFont val="宋体"/>
        <family val="3"/>
        <charset val="134"/>
      </rPr>
      <t>本文档及其附件可能含有机密信息，来自瑞芯微电子股份有限公司，仅发送给指定接收者。若非该特定接收人，请勿复制、</t>
    </r>
    <r>
      <rPr>
        <sz val="10"/>
        <rFont val="Verdana"/>
        <family val="2"/>
      </rPr>
      <t xml:space="preserve"> </t>
    </r>
    <r>
      <rPr>
        <sz val="10"/>
        <rFont val="宋体"/>
        <family val="3"/>
        <charset val="134"/>
      </rPr>
      <t xml:space="preserve">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sz val="10"/>
        <rFont val="Verdana"/>
        <family val="2"/>
      </rPr>
      <t xml:space="preserve"> 
</t>
    </r>
    <r>
      <rPr>
        <b/>
        <sz val="10"/>
        <rFont val="Verdana"/>
        <family val="2"/>
      </rPr>
      <t xml:space="preserve">IMPORTANT NOTICE: </t>
    </r>
    <r>
      <rPr>
        <sz val="10"/>
        <rFont val="Verdana"/>
        <family val="2"/>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42" type="noConversion"/>
  </si>
  <si>
    <t>Revision:   V1.0</t>
    <phoneticPr fontId="35" type="noConversion"/>
  </si>
  <si>
    <t xml:space="preserve"> Status:      Release</t>
    <phoneticPr fontId="35" type="noConversion"/>
  </si>
  <si>
    <t>V1.0</t>
    <phoneticPr fontId="35" type="noConversion"/>
  </si>
  <si>
    <t xml:space="preserve">   Date:        2025/03/18</t>
    <phoneticPr fontId="35" type="noConversion"/>
  </si>
  <si>
    <t>Linus.Lin</t>
    <phoneticPr fontId="35" type="noConversion"/>
  </si>
  <si>
    <t>2025.03.18</t>
    <phoneticPr fontId="35" type="noConversion"/>
  </si>
  <si>
    <t>RV1126B Package Pin length V1.0</t>
    <phoneticPr fontId="35" type="noConversion"/>
  </si>
  <si>
    <t>DDR4_A0/DDR3_A3/LP4_CKE1_A/LP3_A3</t>
  </si>
  <si>
    <t>DDR4_A1/DDR3_BA1/LP4_CKE0_B</t>
  </si>
  <si>
    <t>DDR4_A2/DDR3_A9/LP4_A4_A/LP3_A9</t>
  </si>
  <si>
    <t>DDR4_A3/DDR3_A15/LP4_A5_B</t>
  </si>
  <si>
    <t>DDR4_A4/DDR3_A6/LP4_CLKP_A/LP3_A6</t>
  </si>
  <si>
    <t>A8</t>
  </si>
  <si>
    <t>DDR4_A5/DDR3_A12/LP4_ODT0_B</t>
  </si>
  <si>
    <t>DDR4_A6/DDR3_BA2/LP4_A0_A</t>
  </si>
  <si>
    <t>DDR4_A7/DDR3_A4/LP4_ODT0_A/LP3_A4</t>
  </si>
  <si>
    <t>A10</t>
  </si>
  <si>
    <t>DDR4_A8/DDR3_A1/LP4_CKE0_A/LP3_A1</t>
  </si>
  <si>
    <t>DDR4_A9/DDR3_A5/LP4_A5_A/LP3_A5</t>
  </si>
  <si>
    <t>DDR4_A10/DDR3_A8/LP4_CLKN_A/LP3_A8</t>
  </si>
  <si>
    <t>DDR4_A11/DDR3_A7/LP4_A2_A/LP3_A7</t>
  </si>
  <si>
    <t>DDR4_A12/DDR3_RASN/LP4_A1_A</t>
  </si>
  <si>
    <t>DDR4_A13/DDR3_A13/LP4_A3_A</t>
  </si>
  <si>
    <t>DDR4_A14_WEN/DDR3_A14/LP4_CSN1_B</t>
  </si>
  <si>
    <t>DDR4_A15_CASN/DDR3_A10/LP4_A0_B</t>
  </si>
  <si>
    <t>DDR4_A16_RASN/DDR3_A11/LP4_CSN0_B</t>
  </si>
  <si>
    <t>DDR4_ACTN/DDR3_CKE/LP4_A3_B/LP3_CKE</t>
  </si>
  <si>
    <t>DDR4_BA0/DDR3_CSN1/LP4_CSN0_A/LP3_CSN1</t>
  </si>
  <si>
    <t>DDR4_BA1/DDR3_WEN/LP4_CKE1_B</t>
  </si>
  <si>
    <t>DDR4_BG0/DDR3_ODT1/LP4_CSN1_A/LP3_ODT1</t>
  </si>
  <si>
    <t>DDR4_BG1/DDR3_A2/LP4_ODT1_A/LP3_A2</t>
  </si>
  <si>
    <t>DDR4_CKE/DDR3_CASN/LP4_A1_B</t>
  </si>
  <si>
    <t>DDR4_CLKN/DDR3_CLKN/LP4_CLKN_B/LP3_CLKN</t>
  </si>
  <si>
    <t>DDR4_CLKP/DDR3_CLKP/LP4_CLKP_B/LP3_CLKP</t>
  </si>
  <si>
    <t>A4</t>
  </si>
  <si>
    <t>DDR4_CSN0/DDR3_ODT0/LP4_A2_B/LP3_ODT0</t>
  </si>
  <si>
    <t>DDR4_CSN1/DDR3_BA0</t>
  </si>
  <si>
    <t>DDR4_DM0_A/DDR3_DM0_A/LP4_DM1_A/LP3_DM0</t>
  </si>
  <si>
    <t>W2</t>
  </si>
  <si>
    <t>DDR4_DM0_B/DDR3_DM0_B/LP4_DM0_A/LP3_DM2</t>
  </si>
  <si>
    <t>K2</t>
  </si>
  <si>
    <t>DDR4_DM1_A/DDR3_DM1_A/LP4_DM0_B/LP3_DM1</t>
  </si>
  <si>
    <t>D2</t>
  </si>
  <si>
    <t>DDR4_DM1_B/DDR3_DM1_B/LP4_DM1_B/LP3_DM3</t>
  </si>
  <si>
    <t>DDR4_DQ0_A/DDR3_DQ0_A/LP4_DQ8_A/LP3_DQ2</t>
  </si>
  <si>
    <t>Y2</t>
  </si>
  <si>
    <t>DDR4_DQ0_B/DDR3_DQ0_B/LP4_DQ0_A/LP3_DQ19</t>
  </si>
  <si>
    <t>DDR4_DQ1_A/DDR3_DQ1_A/LP4_DQ9_A/LP3_DQ6</t>
  </si>
  <si>
    <t>DDR4_DQ1_B/DDR3_DQ1_B/LP4_DQ1_A/LP3_DQ18</t>
  </si>
  <si>
    <t>DDR4_DQ2_A/DDR3_DQ2_A/LP4_DQ10_A/LP3_DQ4</t>
  </si>
  <si>
    <t>V1</t>
  </si>
  <si>
    <t>DDR4_DQ2_B/DDR3_DQ2_B/LP4_DQ2_A/LP3_DQ23</t>
  </si>
  <si>
    <t>DDR4_DQ3_A/DDR3_DQ3_A/LP4_DQ11_A/LP3_DQ0</t>
  </si>
  <si>
    <t>V2</t>
  </si>
  <si>
    <t>DDR4_DQ3_B/DDR3_DQ3_B/LP4_DQ3_A/LP3_DQ22</t>
  </si>
  <si>
    <t>DDR4_DQ4_A/DDR3_DQ4_A/LP4_DQ12_A/LP3_DQ3</t>
  </si>
  <si>
    <t>DDR4_DQ4_B/DDR3_DQ4_B/LP4_DQ4_A/LP3_DQ21</t>
  </si>
  <si>
    <t>DDR4_DQ5_A/DDR3_DQ5_A/LP4_DQ13_A/LP3_DQ7</t>
  </si>
  <si>
    <t>DDR4_DQ5_B/DDR3_DQ5_B/LP4_DQ5_A/LP3_DQ16</t>
  </si>
  <si>
    <t>DDR4_DQ6_A/DDR3_DQ6_A/LP4_DQ14_A/LP3_DQ5</t>
  </si>
  <si>
    <t>DDR4_DQ6_B/DDR3_DQ6_B/LP4_DQ6_A/LP3_DQ17</t>
  </si>
  <si>
    <t>DDR4_DQ7_A/DDR3_DQ7_A/LP4_DQ15_A/LP3_DQ1</t>
  </si>
  <si>
    <t>DDR4_DQ7_B/DDR3_DQ7_B/LP4_DQ7_A/LP3_DQ20</t>
  </si>
  <si>
    <t>M2</t>
  </si>
  <si>
    <t>DDR4_DQ8_A/DDR3_DQ8_A/LP4_DQ0_B/LP3_DQ10</t>
  </si>
  <si>
    <t>C1</t>
  </si>
  <si>
    <t>DDR4_DQ8_B/DDR3_DQ8_B/LP4_DQ8_B/LP3_DQ30</t>
  </si>
  <si>
    <t>M1</t>
  </si>
  <si>
    <t>DDR4_DQ9_A/DDR3_DQ9_A/LP4_DQ1_B/LP3_DQ11</t>
  </si>
  <si>
    <t>DDR4_DQ9_B/DDR3_DQ9_B/LP4_DQ9_B/LP3_DQ31</t>
  </si>
  <si>
    <t>DDR4_DQ10_A/DDR3_DQ10_A/LP4_DQ2_B/LP3_DQ8</t>
  </si>
  <si>
    <t>DDR4_DQ10_B/DDR3_DQ10_B/LP4_DQ10_B/LP3_DQ28</t>
  </si>
  <si>
    <t>N2</t>
  </si>
  <si>
    <t>DDR4_DQ11_A/DDR3_DQ11_A/LP4_DQ3_B/LP3_DQ9</t>
  </si>
  <si>
    <t>DDR4_DQ11_B/DDR3_DQ11_B/LP4_DQ11_B/LP3_DQ29</t>
  </si>
  <si>
    <t>H2</t>
  </si>
  <si>
    <t>DDR4_DQ12_A/DDR3_DQ12_A/LP4_DQ4_B/LP3_DQ12</t>
  </si>
  <si>
    <t>DDR4_DQ12_B/DDR3_DQ12_B/LP4_DQ12_B/LP3_DQ24</t>
  </si>
  <si>
    <t>J2</t>
  </si>
  <si>
    <t>DDR4_DQ13_A/DDR3_DQ13_A/LP4_DQ5_B/LP3_DQ13</t>
  </si>
  <si>
    <t>F1</t>
  </si>
  <si>
    <t>DDR4_DQ13_B/DDR3_DQ13_B/LP4_DQ13_B/LP3_DQ25</t>
  </si>
  <si>
    <t>J1</t>
  </si>
  <si>
    <t>DDR4_DQ14_A/DDR3_DQ14_A/LP4_DQ6_B/LP3_DQ14</t>
  </si>
  <si>
    <t>F2</t>
  </si>
  <si>
    <t>DDR4_DQ14_B/DDR3_DQ14_B/LP4_DQ14_B/LP3_DQ26</t>
  </si>
  <si>
    <t>DDR4_DQ15_A/DDR3_DQ15_A/LP4_DQ7_B/LP3_DQ15</t>
  </si>
  <si>
    <t>E2</t>
  </si>
  <si>
    <t>DDR4_DQ15_B/DDR3_DQ15_B/LP4_DQ15_B/LP3_DQ27</t>
  </si>
  <si>
    <t>DDR4_DQS0N_A/DDR3_DQS0N_A/LP4_DQS1N_A/LP3_DQS0N</t>
  </si>
  <si>
    <t>DDR4_DQS0N_B/DDR3_DQS0N_B/LP4_DQS0N_A/LP3_DQS2N</t>
  </si>
  <si>
    <t>DDR4_DQS0P_A/DDR3_DQS0P_A/LP4_DQS1P_A/LP3_DQS0P</t>
  </si>
  <si>
    <t>DDR4_DQS0P_B/DDR3_DQS0P_B/LP4_DQS0P_A/LP3_DQS2P</t>
  </si>
  <si>
    <t>DDR4_DQS1N_A/DDR3_DQS1N_A/LP4_DQS0N_B/LP3_DQS1N</t>
  </si>
  <si>
    <t>DDR4_DQS1N_B/DDR3_DQS1N_B/LP4_DQS1N_B/LP3_DQS3N</t>
  </si>
  <si>
    <t>DDR4_DQS1P_A/DDR3_DQS1P_A/LP4_DQS0P_B/LP3_DQS1P</t>
  </si>
  <si>
    <t>DDR4_DQS1P_B/DDR3_DQS1P_B/LP4_DQS1P_B/LP3_DQS3P</t>
  </si>
  <si>
    <t>B5</t>
  </si>
  <si>
    <t>DDR4_ODT0/DDR3_CSN0/LP4_A4_B/LP3_CSN0</t>
  </si>
  <si>
    <t>DDR4_ODT1/DDR3_A0/LP4_ODT1_B/LP3_A0</t>
  </si>
  <si>
    <t>EMMC_CLK/FSPI1_CLK_M1/GPIO1_B3</t>
  </si>
  <si>
    <t>EMMC_CMD/FSPI1_CSN0_M1/GPIO1_B1</t>
  </si>
  <si>
    <t>EMMC_D0/FSPI1_D0_M1/PWM3_CH0_M0/GPIO1_A0</t>
  </si>
  <si>
    <t>EMMC_D1/FSPI1_D1_M1/PWM3_CH1_M0/GPIO1_A1</t>
  </si>
  <si>
    <t>EMMC_D2/FSPI1_D2_M1/PWM3_CH2_M0/GPIO1_A2</t>
  </si>
  <si>
    <t>EMMC_D3/FSPI1_D3_M1/PWM3_CH3_M0/GPIO1_A3</t>
  </si>
  <si>
    <t>EMMC_D4/PWM3_CH4_M0/GPIO1_A4</t>
  </si>
  <si>
    <t>EMMC_D5/FSPI0_CSN1/PWM3_CH5_M0/GPIO1_A5</t>
  </si>
  <si>
    <t>EMMC_D6/PWM3_CH6_M0/GPIO1_A6</t>
  </si>
  <si>
    <t>EMMC_D7/PWM3_CH7_M0/GPIO1_A7</t>
  </si>
  <si>
    <t>MIPI_DPHY_CSI_RX0_CLK0N</t>
  </si>
  <si>
    <t>MIPI_DPHY_CSI_RX0_CLK0P</t>
  </si>
  <si>
    <t>MIPI_DPHY_CSI_RX0_D0N</t>
  </si>
  <si>
    <t>MIPI_DPHY_CSI_RX0_D0P</t>
  </si>
  <si>
    <t>MIPI_DPHY_CSI_RX0_D1N</t>
  </si>
  <si>
    <t>MIPI_DPHY_CSI_RX0_D1P</t>
  </si>
  <si>
    <t>MIPI_DPHY_CSI_RX0_D2N</t>
  </si>
  <si>
    <t>MIPI_DPHY_CSI_RX0_D2P</t>
  </si>
  <si>
    <t>MIPI_DPHY_CSI_RX0_D3N</t>
  </si>
  <si>
    <t>MIPI_DPHY_CSI_RX0_D3P</t>
  </si>
  <si>
    <t>MIPI_DPHY_CSI_RX1_CLK0N</t>
  </si>
  <si>
    <t>MIPI_DPHY_CSI_RX1_CLK0P</t>
  </si>
  <si>
    <t>MIPI_DPHY_CSI_RX1_CLK1N</t>
  </si>
  <si>
    <t>MIPI_DPHY_CSI_RX1_CLK1P</t>
  </si>
  <si>
    <t>MIPI_DPHY_CSI_RX1_D0N</t>
  </si>
  <si>
    <t>MIPI_DPHY_CSI_RX1_D0P</t>
  </si>
  <si>
    <t>MIPI_DPHY_CSI_RX1_D1N</t>
  </si>
  <si>
    <t>MIPI_DPHY_CSI_RX1_D1P</t>
  </si>
  <si>
    <t>MIPI_DPHY_CSI_RX1_D2N</t>
  </si>
  <si>
    <t>MIPI_DPHY_CSI_RX1_D2P</t>
  </si>
  <si>
    <t>MIPI_DPHY_CSI_RX1_D3N</t>
  </si>
  <si>
    <t>MIPI_DPHY_CSI_RX1_D3P</t>
  </si>
  <si>
    <t>MIPI_DPHY_DSI_TX_CLKN</t>
  </si>
  <si>
    <t>MIPI_DPHY_DSI_TX_CLKP</t>
  </si>
  <si>
    <t>MIPI_DPHY_DSI_TX_D0N</t>
  </si>
  <si>
    <t>MIPI_DPHY_DSI_TX_D0P</t>
  </si>
  <si>
    <t>MIPI_DPHY_DSI_TX_D1N</t>
  </si>
  <si>
    <t>MIPI_DPHY_DSI_TX_D1P</t>
  </si>
  <si>
    <t>MIPI_DPHY_DSI_TX_D2N</t>
  </si>
  <si>
    <t>MIPI_DPHY_DSI_TX_D2P</t>
  </si>
  <si>
    <t>MIPI_DPHY_DSI_TX_D3N</t>
  </si>
  <si>
    <t>MIPI_DPHY_DSI_TX_D3P</t>
  </si>
  <si>
    <t>SDMMC0_CLK/UART3_RTSN_M0/UART4_RX_M3/GPIO2_A4</t>
  </si>
  <si>
    <t>SDMMC0_CMD/UART3_CTSN_M0/UART4_TX_M3/GPIO2_A5</t>
  </si>
  <si>
    <t>SDMMC0_D0/UART0_RX_M0/I2C0_SDA_M1/GPIO2_A0</t>
  </si>
  <si>
    <t>SDMMC0_D1/UART0_TX_M0/I2C0_SCL_M1/GPIO2_A1</t>
  </si>
  <si>
    <t>SDMMC0_D2/UART3_RX_M0/UART4_RTSN_M3/JTAG_TCK_M1/EMMC_TESTCLK_OUT/TEST_CLK1_OUT/GPIO2_A2</t>
  </si>
  <si>
    <t>SDMMC0_D3/UART3_TX_M0/UART4_CTSN_M3/JTAG_TMS_M1/EMMC_TESTDATA_OUT/GPIO2_A3</t>
  </si>
  <si>
    <t>SDMMC0_DETN/PWM1_CH0_M0/GPIO0_A5</t>
  </si>
  <si>
    <t>SDMMC1_CLK/GPIO3_A0</t>
  </si>
  <si>
    <t>SDMMC1_CMD/GPIO3_A1</t>
  </si>
  <si>
    <t>SDMMC1_D0/I2C1_SCL_M1/GPIO3_A2</t>
  </si>
  <si>
    <t>SDMMC1_D1/I2C1_SDA_M1/GPIO3_A3</t>
  </si>
  <si>
    <t>A20</t>
  </si>
  <si>
    <t>SDMMC1_D2/GPIO3_A4</t>
  </si>
  <si>
    <t>SDMMC1_D3/GPIO3_A5</t>
  </si>
  <si>
    <t>USB2_HOST_DM</t>
  </si>
  <si>
    <t>USB2_HOST_DP</t>
  </si>
  <si>
    <t>USB2_OTG_DM</t>
  </si>
  <si>
    <t>USB2_OTG_DP</t>
  </si>
  <si>
    <t>VI_CIF_CLKIN_M0/ETH_CLK_25M_OUT_M0/PWM0_CH1_M2/UART3_CTSN_M2/GPIO6_C1</t>
  </si>
  <si>
    <t>VI_CIF_CLKOUT_M0/ETH_TXCLK_M0/FEPHY_LEDLINK_M2/PWM0_CH2_M2/UART3_TX_M2/GPIO6_C2</t>
  </si>
  <si>
    <t>VI_CIF_D0_M0/ETH_PPSTRIG_M0/CAN0_RXD_M1/SAI0_SCLK_M1/PWM1_CH0_M2/UART4_TX_M2/I2C3_SCL_M3/GPIO6_A0</t>
  </si>
  <si>
    <t>VI_CIF_D1_M0/ETH_PTP_REFCLK_M0/CAN0_TXD_M1/SAI0_LRCK_M1/PWM1_CH1_M2/UART4_RX_M2/I2C3_SDA_M3/GPIO6_A1</t>
  </si>
  <si>
    <t>VI_CIF_D2_M0/ETH_PPSCLK_M0/CAN1_RXD_M1/SAI0_SDO0_M1/PWM1_CH2_M2/UART5_TX_M2/I2C4_SCL_M1/GPIO6_A2</t>
  </si>
  <si>
    <t>VI_CIF_D3_M0/ETH_RXD2_M0/CAN1_TXD_M1/SAI0_SDI0_M1/PWM1_CH3_M2/UART5_RX_M2/I2C4_SDA_M1/GPIO6_A3</t>
  </si>
  <si>
    <t>VI_CIF_D4_M0/ETH_RXD3_M0/SAI0_MCLK_M1/PWM2_CH0_M2/UART5_RTSN_M2/I2C5_SCL_M3/GPIO6_A4</t>
  </si>
  <si>
    <t>VI_CIF_D5_M0/ETH_TXD2_M0/PWM2_CH1_M2/UART5_CTSN_M2/I2C5_SDA_M3/GPIO6_A5</t>
  </si>
  <si>
    <t>VI_CIF_D6_M0/ETH_TXD3_M0/PWM2_CH2_M2/UART4_RTSN_M2/GPIO6_A6</t>
  </si>
  <si>
    <t>VI_CIF_D7_M0/ETH_TXD0_M0/PWM2_CH3_M2/SAI0_SDI3_M1/SAI0_SDO1_M1/UART4_CTSN_M2/GPIO6_A7</t>
  </si>
  <si>
    <t>VI_CIF_D8_M0/ETH_TXD1_M0/SPI1_CSN1_M0/SAI0_SDI2_M1/SAI0_SDO2_M1/UART6_TX_M1/GPIO6_B0</t>
  </si>
  <si>
    <t>VI_CIF_D9_M0/ETH_TXCTL_M0/SPI1_CSN0_M0/SAI0_SDI1_M1/SAI0_SDO3_M1/UART6_RX_M1/GPIO6_B1</t>
  </si>
  <si>
    <t>VI_CIF_D10_M0/ETH_RXD0_M0/SPI1_MOSI_M0/PDM_SDI2_M1/UART6_RTSN_M1/GPIO6_B2</t>
  </si>
  <si>
    <t>VI_CIF_D11_M0/ETH_RXD1_M0/SPI1_MISO_M0/PDM_SDI3_M1/UART6_CTSN_M1/GPIO6_B3</t>
  </si>
  <si>
    <t>VI_CIF_D12_M0/ETH_MCLK_M0/SPI1_CLK_M0/PDM_CLK0_M1/UART7_TX_M1/GPIO6_B4</t>
  </si>
  <si>
    <t>VI_CIF_D13_M0/ETH_RXCTL_M0/PDM_SDI0_M1/UART7_RX_M1/GPIO6_B5</t>
  </si>
  <si>
    <t>VI_CIF_D14_M0/PDM_SDI1_M1/UART7_RTSN_M1/GPIO6_B6</t>
  </si>
  <si>
    <t>VI_CIF_D15_M0/ETH_MDIO_M0/ETH_TESTRXD_OUT_M1/PDM_CLK1_M1/UART7_CTSN_M1/GPIO6_B7</t>
  </si>
  <si>
    <t>VI_CIF_HSYNC_M0/ETH_RXCLK_M0/FEPHY_LEDSPD_M2/PWM0_CH3_M2/UART3_RX_M2/I2C2_SDA_M2/GPIO6_C3</t>
  </si>
  <si>
    <t>VI_CIF_VSYNC_M0/ETH_MDC_M0/ETH_TESTRXCLK_OUT_M1/PWM0_CH0_M2/UART3_RTSN_M2/I2C2_SCL_M2/GPIO6_C0</t>
  </si>
  <si>
    <t>VO_LCDC_CLK/SPI1_MISO_M2/DSMC_INT2/PWM1_CH0_M1/UART3_CTSN_M1/GPIO5_D3</t>
  </si>
  <si>
    <t>VO_LCDC_D0/ETH_TXD3_M1/VI_CIF_D0_M1/DSMC_CSN1/IR_FPA_SDA0/PWM2_CH4_M0/UART4_RTSN_M1/GPIO5_A0</t>
  </si>
  <si>
    <t>VO_LCDC_D1/I2C5_SCL_M2/VI_CIF_D1_M1/DSMC_DQS1/SAI2_SDI2_M1/IR_FPA_SDA1/PWM2_CH5_M0/UART4_CTSN_M1/GPIO5_A1</t>
  </si>
  <si>
    <t>VO_LCDC_D2/ETH_PPSCLK_M1/VI_CIF_D2_M1/DSMC_D15/SAI2_SDI1_M1/PWM0_CH5_M2/UART4_TX_M1/GPIO5_A2</t>
  </si>
  <si>
    <t>VO_LCDC_D3/SPI0_CSN0_M2/DSMC_D14/SAI2_MCLK_M1/PWM0_CH4_M2/UART4_RX_M1/GPIO5_A3</t>
  </si>
  <si>
    <t>VO_LCDC_D4/SPI0_MOSI_M2/DSMC_D13/SAI2_SDO_M1/PWM0_CH3_M1/UART5_TX_M1/GPIO5_A4</t>
  </si>
  <si>
    <t>VO_LCDC_D5/SPI0_MISO_M2/DSMC_D12/SAI2_SCLK_M1/PWM0_CH2_M1/UART5_RX_M1/GPIO5_A5</t>
  </si>
  <si>
    <t>VO_LCDC_D6/SPI0_CLK_M2/DSMC_D11/SAI2_SDI0_M1/PWM0_CH1_M1/UART5_RTSN_M1/GPIO5_A6</t>
  </si>
  <si>
    <t>VO_LCDC_D7/SPI0_CSN1_M2/VI_CIF_D3_M1/DSMC_D10/SAI2_LRCK_M1/I2C5_SDA_M2/PWM0_CH0_M1/UART5_CTSN_M1/GPIO5_A7</t>
  </si>
  <si>
    <t>VO_LCDC_D8/ETH_RXCTL_M1/VI_CIF_D4_M1/DSMC_D9/IR_FPA_SDA2/UART6_TX_M0/GPIO5_B0</t>
  </si>
  <si>
    <t>VO_LCDC_D9/ETH_RXD0_M1/VI_CIF_D5_M1/DSMC_D8/IR_FPA_SDA3/UART6_RX_M0/GPIO5_B1</t>
  </si>
  <si>
    <t>VO_LCDC_D10/ETH_RXD1_M1/VI_CIF_D6_M1/DSMC_RESETN/DSMC_INT1/PWM2_CH0_M1/UART6_RTSN_M0/GPIO5_B2</t>
  </si>
  <si>
    <t>VO_LCDC_D11/ETH_MCLK_M1/VI_CIF_D7_M1/DSMC_RDYN/PWM2_CH1_M1/UART6_CTSN_M0/GPIO5_B3</t>
  </si>
  <si>
    <t>VO_LCDC_D12/VI_CIF_D8_M1/DSMC_CSN0/UART7_TX_M0/GPIO5_B4</t>
  </si>
  <si>
    <t>VO_LCDC_D13/ETH_MDIO_M1/VI_CIF_D9_M1/DSMC_DQS0/ETH_TESTRXD_OUT_M0/UART7_RX_M0/GPIO5_B5</t>
  </si>
  <si>
    <t>VO_LCDC_D14/ETH_MDC_M1/VI_CIF_D10_M1/DSMC_CLKN/DSMC_INT0/ETH_TESTRXCLK_OUT_M0/PWM2_CH2_M1/UART7_RTSN_M0/GPIO5_B6</t>
  </si>
  <si>
    <t>VO_LCDC_D15/ETH_TXD0_M1/VI_CIF_D11_M1/DSMC_CLKP/PWM2_CH3_M1/UART7_CTSN_M0/GPIO5_B7</t>
  </si>
  <si>
    <t>VO_LCDC_D16/ETH_TXD1_M1/VI_CIF_D12_M1/DSMC_D7/IR_FPA_SDA4/PWM3_CH0_M1/GPIO5_C0</t>
  </si>
  <si>
    <t>VO_LCDC_D17/ETH_CLK_25M_OUT_M1/VI_CIF_D13_M1/DSMC_D6/IR_FPA_SDA5/PWM3_CH1_M1/GPIO5_C1</t>
  </si>
  <si>
    <t>VO_LCDC_D18/ETH_TXCTL_M1/VI_CIF_D14_M1/DSMC_D5/IR_FPA_SDA6/PWM3_CH2_M1/GPIO5_C2</t>
  </si>
  <si>
    <t>VO_LCDC_D19/ETH_RXD2_M1/VI_CIF_D15_M1/DSMC_D4/SAI1_MCLK_M2/PWM3_CH3_M1/GPIO5_C3</t>
  </si>
  <si>
    <t>VO_LCDC_D20/ETH_RXD3_M1/VI_CIF_VSYNC_M1/DSMC_D3/SAI1_SDO_M2/PWM3_CH4_M1/GPIO5_C4</t>
  </si>
  <si>
    <t>VO_LCDC_D21/ETH_TXD2_M1/VI_CIF_CLKOUT_M1/DSMC_D2/SAI1_SCLK_M2/PWM3_CH5_M1/GPIO5_C5</t>
  </si>
  <si>
    <t>VO_LCDC_D22/ETH_TXCLK_M1/VI_CIF_CLKIN_M1/DSMC_D1/SAI1_LRCK_M2/PWM3_CH6_M1/GPIO5_C6</t>
  </si>
  <si>
    <t>VO_LCDC_D23/ETH_RXCLK_M1/VI_CIF_HSYNC_M1/DSMC_D0/SAI1_SDI_M2/PWM3_CH7_M1/GPIO5_C7</t>
  </si>
  <si>
    <t>VO_LCDC_DEN/SPI1_CSN0_M2/ETH_PTP_REFCLK_M1/DSMC_CSN3/I2C3_SCL_M2/PWM0_CH6_M2/GPIO5_D0</t>
  </si>
  <si>
    <t>VO_LCDC_HSYNC/SPI1_CLK_M2/ETH_PPSTRIG_M1/DSMC_CSN2/I2C3_SDA_M2/PWM1_CH2_M1/GPIO5_D1</t>
  </si>
  <si>
    <t>VO_LCDC_VSYNC/SPI1_MOSI_M2/DSMC_INT3/PWM1_CH1_M1/UART3_RTSN_M1/GPIO5_D2</t>
  </si>
  <si>
    <t>C9</t>
  </si>
  <si>
    <t>B6</t>
  </si>
  <si>
    <t>A9</t>
  </si>
  <si>
    <t>C8</t>
  </si>
  <si>
    <t>B9</t>
  </si>
  <si>
    <t>C11</t>
  </si>
  <si>
    <t>D7</t>
  </si>
  <si>
    <t>A12</t>
  </si>
  <si>
    <t>E7</t>
  </si>
  <si>
    <t>A6</t>
  </si>
  <si>
    <t>D6</t>
  </si>
  <si>
    <t>D11</t>
  </si>
  <si>
    <t>C6</t>
  </si>
  <si>
    <t>D5</t>
  </si>
  <si>
    <t>D4</t>
  </si>
  <si>
    <t>D8</t>
  </si>
  <si>
    <t>N3</t>
  </si>
  <si>
    <t>B3</t>
  </si>
  <si>
    <t>K4</t>
  </si>
  <si>
    <t>J4</t>
  </si>
  <si>
    <t>P4</t>
  </si>
  <si>
    <t>N4</t>
  </si>
  <si>
    <t>J3</t>
  </si>
  <si>
    <t>P2</t>
  </si>
  <si>
    <t>K3</t>
  </si>
  <si>
    <t>L1</t>
  </si>
  <si>
    <t>M4</t>
  </si>
  <si>
    <t>P3</t>
  </si>
  <si>
    <t>P1</t>
  </si>
  <si>
    <t>D1</t>
  </si>
  <si>
    <t>A3</t>
  </si>
  <si>
    <t>G4</t>
  </si>
  <si>
    <t>H1</t>
  </si>
  <si>
    <t>F4</t>
  </si>
  <si>
    <t>H3</t>
  </si>
  <si>
    <t>E1</t>
  </si>
  <si>
    <t>G3</t>
  </si>
  <si>
    <t>C2</t>
  </si>
  <si>
    <t>L3</t>
  </si>
  <si>
    <t>L4</t>
  </si>
  <si>
    <t>E3</t>
  </si>
  <si>
    <t>D3</t>
  </si>
  <si>
    <t>D10</t>
  </si>
  <si>
    <t>T4</t>
  </si>
  <si>
    <t>V4</t>
  </si>
  <si>
    <t>V3</t>
  </si>
  <si>
    <t>U4</t>
  </si>
  <si>
    <t>U3</t>
  </si>
  <si>
    <t>V15</t>
  </si>
  <si>
    <t>U15</t>
  </si>
  <si>
    <t>U16</t>
  </si>
  <si>
    <t>V16</t>
  </si>
  <si>
    <t>W16</t>
  </si>
  <si>
    <t>Y16</t>
  </si>
  <si>
    <t>Y15</t>
  </si>
  <si>
    <t>W15</t>
  </si>
  <si>
    <t>AA16</t>
  </si>
  <si>
    <t>AA15</t>
  </si>
  <si>
    <t>W18</t>
  </si>
  <si>
    <t>V18</t>
  </si>
  <si>
    <t>U5</t>
  </si>
  <si>
    <t>U6</t>
  </si>
  <si>
    <t>Y20</t>
  </si>
  <si>
    <t>AA20</t>
  </si>
  <si>
    <t>Y19</t>
  </si>
  <si>
    <t>AA19</t>
  </si>
  <si>
    <t>Y18</t>
  </si>
  <si>
    <t>AA18</t>
  </si>
  <si>
    <t>W17</t>
  </si>
  <si>
    <t>Y17</t>
  </si>
  <si>
    <t>C18</t>
  </si>
  <si>
    <t>C19</t>
  </si>
  <si>
    <t>B19</t>
  </si>
  <si>
    <t>A19</t>
  </si>
  <si>
    <t>C20</t>
  </si>
  <si>
    <t>D19</t>
  </si>
  <si>
    <t>D20</t>
  </si>
  <si>
    <t>AA13</t>
  </si>
  <si>
    <t>Y13</t>
  </si>
  <si>
    <t>Y14</t>
  </si>
  <si>
    <t>W13</t>
  </si>
  <si>
    <t>V13</t>
  </si>
  <si>
    <t>U13</t>
  </si>
  <si>
    <t>U7</t>
  </si>
  <si>
    <t>D16</t>
  </si>
  <si>
    <t>A16</t>
  </si>
  <si>
    <t>B16</t>
  </si>
  <si>
    <t>C16</t>
  </si>
  <si>
    <t>D15</t>
  </si>
  <si>
    <t>C15</t>
  </si>
  <si>
    <t>Y1</t>
  </si>
  <si>
    <t>W4</t>
  </si>
  <si>
    <t>W3</t>
  </si>
  <si>
    <t>M19</t>
  </si>
  <si>
    <t>P19</t>
  </si>
  <si>
    <t>R17</t>
  </si>
  <si>
    <t>T18</t>
  </si>
  <si>
    <t>P17</t>
  </si>
  <si>
    <t>R18</t>
  </si>
  <si>
    <t>T19</t>
  </si>
  <si>
    <t>T20</t>
  </si>
  <si>
    <t>N17</t>
  </si>
  <si>
    <t>R19</t>
  </si>
  <si>
    <t>T21</t>
  </si>
  <si>
    <t>N18</t>
  </si>
  <si>
    <t>R20</t>
  </si>
  <si>
    <t>R21</t>
  </si>
  <si>
    <t>N19</t>
  </si>
  <si>
    <t>M17</t>
  </si>
  <si>
    <t>M18</t>
  </si>
  <si>
    <t>N20</t>
  </si>
  <si>
    <t>P20</t>
  </si>
  <si>
    <t>N21</t>
  </si>
  <si>
    <t>D21</t>
  </si>
  <si>
    <t>J18</t>
  </si>
  <si>
    <t>L17</t>
  </si>
  <si>
    <t>M21</t>
  </si>
  <si>
    <t>M20</t>
  </si>
  <si>
    <t>L19</t>
  </si>
  <si>
    <t>L20</t>
  </si>
  <si>
    <t>K16</t>
  </si>
  <si>
    <t>K17</t>
  </si>
  <si>
    <t>K18</t>
  </si>
  <si>
    <t>K19</t>
  </si>
  <si>
    <t>K20</t>
  </si>
  <si>
    <t>K21</t>
  </si>
  <si>
    <t>J19</t>
  </si>
  <si>
    <t>J21</t>
  </si>
  <si>
    <t>J20</t>
  </si>
  <si>
    <t>H20</t>
  </si>
  <si>
    <t>H19</t>
  </si>
  <si>
    <t>G21</t>
  </si>
  <si>
    <t>G20</t>
  </si>
  <si>
    <t>G19</t>
  </si>
  <si>
    <t>H18</t>
  </si>
  <si>
    <t>F21</t>
  </si>
  <si>
    <t>F20</t>
  </si>
  <si>
    <t>F19</t>
  </si>
  <si>
    <t>J17</t>
  </si>
  <si>
    <t>H17</t>
  </si>
  <si>
    <t>C21</t>
  </si>
  <si>
    <t>RV1126B-P_Package_PinLength</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</si>
</sst>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14809]dd/mm/yyyy;@"/>
    <numFmt numFmtId="177" formatCode="[$-F400]h:mm:ss\ AM/PM"/>
    <numFmt numFmtId="178" formatCode="0.00_ "/>
  </numFmts>
  <fonts count="44" x14ac:knownFonts="1">
    <font>
      <sz val="10"/>
      <name val="Arial"/>
      <charset val="134"/>
    </font>
    <font>
      <sz val="11"/>
      <color theme="1"/>
      <name val="宋体"/>
      <family val="3"/>
      <charset val="134"/>
      <scheme val="minor"/>
    </font>
    <font>
      <b/>
      <sz val="26"/>
      <color theme="1"/>
      <name val="Times New Roman"/>
      <family val="1"/>
    </font>
    <font>
      <b/>
      <sz val="14"/>
      <color theme="1"/>
      <name val="Times New Roman"/>
      <family val="1"/>
    </font>
    <font>
      <sz val="14"/>
      <color theme="1"/>
      <name val="Times New Roman"/>
      <family val="1"/>
    </font>
    <font>
      <sz val="12"/>
      <color theme="1"/>
      <name val="Times New Roman"/>
      <family val="1"/>
    </font>
    <font>
      <sz val="11"/>
      <color theme="1"/>
      <name val="Times New Roman"/>
      <family val="1"/>
    </font>
    <font>
      <sz val="11"/>
      <name val="Times New Roman"/>
      <family val="1"/>
    </font>
    <font>
      <b/>
      <sz val="16"/>
      <color rgb="FF0071C5"/>
      <name val="微软雅黑"/>
      <family val="2"/>
      <charset val="134"/>
    </font>
    <font>
      <b/>
      <sz val="9"/>
      <color rgb="FF0071C5"/>
      <name val="微软雅黑"/>
      <family val="2"/>
      <charset val="134"/>
    </font>
    <font>
      <sz val="9"/>
      <name val="微软雅黑"/>
      <family val="2"/>
      <charset val="134"/>
    </font>
    <font>
      <sz val="9"/>
      <name val="Verdana"/>
      <family val="2"/>
    </font>
    <font>
      <b/>
      <i/>
      <sz val="14"/>
      <color rgb="FF0066FF"/>
      <name val="Arial"/>
      <family val="2"/>
    </font>
    <font>
      <b/>
      <i/>
      <sz val="12"/>
      <color indexed="10"/>
      <name val="微软雅黑"/>
      <family val="2"/>
      <charset val="134"/>
    </font>
    <font>
      <b/>
      <sz val="26"/>
      <color indexed="48"/>
      <name val="Arial"/>
      <family val="2"/>
    </font>
    <font>
      <sz val="11"/>
      <color indexed="8"/>
      <name val="Calibri"/>
      <family val="2"/>
    </font>
    <font>
      <b/>
      <sz val="11"/>
      <color indexed="52"/>
      <name val="Calibri"/>
      <family val="2"/>
    </font>
    <font>
      <b/>
      <sz val="11"/>
      <color indexed="56"/>
      <name val="Calibri"/>
      <family val="2"/>
    </font>
    <font>
      <sz val="11"/>
      <color indexed="9"/>
      <name val="Calibri"/>
      <family val="2"/>
    </font>
    <font>
      <sz val="11"/>
      <color indexed="62"/>
      <name val="Calibri"/>
      <family val="2"/>
    </font>
    <font>
      <b/>
      <sz val="11"/>
      <color indexed="8"/>
      <name val="Calibri"/>
      <family val="2"/>
    </font>
    <font>
      <sz val="11"/>
      <color indexed="60"/>
      <name val="Calibri"/>
      <family val="2"/>
    </font>
    <font>
      <b/>
      <sz val="11"/>
      <color indexed="9"/>
      <name val="Calibri"/>
      <family val="2"/>
    </font>
    <font>
      <i/>
      <sz val="11"/>
      <color indexed="23"/>
      <name val="Calibri"/>
      <family val="2"/>
    </font>
    <font>
      <b/>
      <sz val="10"/>
      <name val="Arial"/>
      <family val="2"/>
    </font>
    <font>
      <sz val="11"/>
      <color indexed="17"/>
      <name val="Calibri"/>
      <family val="2"/>
    </font>
    <font>
      <b/>
      <sz val="15"/>
      <color indexed="56"/>
      <name val="Calibri"/>
      <family val="2"/>
    </font>
    <font>
      <b/>
      <sz val="13"/>
      <color indexed="56"/>
      <name val="Calibri"/>
      <family val="2"/>
    </font>
    <font>
      <sz val="11"/>
      <color indexed="52"/>
      <name val="Calibri"/>
      <family val="2"/>
    </font>
    <font>
      <b/>
      <sz val="11"/>
      <color indexed="63"/>
      <name val="Calibri"/>
      <family val="2"/>
    </font>
    <font>
      <b/>
      <sz val="18"/>
      <color indexed="56"/>
      <name val="Cambria"/>
      <family val="1"/>
    </font>
    <font>
      <sz val="11"/>
      <color indexed="10"/>
      <name val="Calibri"/>
      <family val="2"/>
    </font>
    <font>
      <sz val="12"/>
      <color indexed="8"/>
      <name val="新細明體"/>
      <family val="1"/>
    </font>
    <font>
      <sz val="12"/>
      <color theme="1"/>
      <name val="宋体"/>
      <family val="3"/>
      <charset val="134"/>
    </font>
    <font>
      <sz val="10"/>
      <name val="Arial"/>
      <family val="2"/>
    </font>
    <font>
      <sz val="9"/>
      <name val="Arial"/>
      <family val="2"/>
    </font>
    <font>
      <sz val="9"/>
      <name val="微软雅黑"/>
      <family val="2"/>
      <charset val="134"/>
    </font>
    <font>
      <sz val="10"/>
      <name val="Verdana"/>
      <family val="3"/>
      <charset val="134"/>
    </font>
    <font>
      <b/>
      <sz val="10"/>
      <name val="宋体"/>
      <family val="3"/>
      <charset val="134"/>
    </font>
    <font>
      <sz val="10"/>
      <name val="Verdana"/>
      <family val="2"/>
    </font>
    <font>
      <sz val="10"/>
      <name val="宋体"/>
      <family val="3"/>
      <charset val="134"/>
    </font>
    <font>
      <b/>
      <sz val="10"/>
      <name val="Verdana"/>
      <family val="2"/>
    </font>
    <font>
      <sz val="9"/>
      <name val="宋体"/>
      <family val="3"/>
      <charset val="134"/>
    </font>
    <font>
      <sz val="11"/>
      <color theme="1"/>
      <name val="Verdana"/>
      <family val="2"/>
    </font>
  </fonts>
  <fills count="29">
    <fill>
      <patternFill patternType="none"/>
    </fill>
    <fill>
      <patternFill patternType="gray125"/>
    </fill>
    <fill>
      <patternFill patternType="solid">
        <fgColor theme="3" tint="0.79995117038483843"/>
        <bgColor indexed="64"/>
      </patternFill>
    </fill>
    <fill>
      <patternFill patternType="solid">
        <fgColor theme="3" tint="0.39994506668294322"/>
        <bgColor indexed="64"/>
      </patternFill>
    </fill>
    <fill>
      <patternFill patternType="solid">
        <fgColor theme="9" tint="-0.249977111117893"/>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indexed="46"/>
        <bgColor indexed="64"/>
      </patternFill>
    </fill>
    <fill>
      <patternFill patternType="solid">
        <fgColor indexed="45"/>
        <bgColor indexed="64"/>
      </patternFill>
    </fill>
    <fill>
      <patternFill patternType="solid">
        <fgColor indexed="51"/>
        <bgColor indexed="64"/>
      </patternFill>
    </fill>
    <fill>
      <patternFill patternType="solid">
        <fgColor indexed="29"/>
        <bgColor indexed="64"/>
      </patternFill>
    </fill>
    <fill>
      <patternFill patternType="solid">
        <fgColor indexed="36"/>
        <bgColor indexed="64"/>
      </patternFill>
    </fill>
    <fill>
      <patternFill patternType="solid">
        <fgColor indexed="47"/>
        <bgColor indexed="64"/>
      </patternFill>
    </fill>
    <fill>
      <patternFill patternType="solid">
        <fgColor indexed="27"/>
        <bgColor indexed="64"/>
      </patternFill>
    </fill>
    <fill>
      <patternFill patternType="solid">
        <fgColor indexed="62"/>
        <bgColor indexed="64"/>
      </patternFill>
    </fill>
    <fill>
      <patternFill patternType="solid">
        <fgColor indexed="42"/>
        <bgColor indexed="64"/>
      </patternFill>
    </fill>
    <fill>
      <patternFill patternType="solid">
        <fgColor indexed="44"/>
        <bgColor indexed="64"/>
      </patternFill>
    </fill>
    <fill>
      <patternFill patternType="solid">
        <fgColor indexed="30"/>
        <bgColor indexed="64"/>
      </patternFill>
    </fill>
    <fill>
      <patternFill patternType="solid">
        <fgColor indexed="11"/>
        <bgColor indexed="64"/>
      </patternFill>
    </fill>
    <fill>
      <patternFill patternType="solid">
        <fgColor indexed="31"/>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dashed">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85">
    <xf numFmtId="177" fontId="0" fillId="0" borderId="0">
      <alignment vertical="center"/>
    </xf>
    <xf numFmtId="177" fontId="15" fillId="0" borderId="0">
      <alignment vertical="center"/>
    </xf>
    <xf numFmtId="177" fontId="34" fillId="0" borderId="0">
      <alignment vertical="center"/>
    </xf>
    <xf numFmtId="0" fontId="15" fillId="8" borderId="0" applyNumberFormat="0" applyBorder="0" applyAlignment="0" applyProtection="0">
      <alignment vertical="center"/>
    </xf>
    <xf numFmtId="0" fontId="15" fillId="10" borderId="0" applyNumberFormat="0" applyBorder="0" applyAlignment="0" applyProtection="0">
      <alignment vertical="center"/>
    </xf>
    <xf numFmtId="0" fontId="19" fillId="13" borderId="6" applyNumberFormat="0" applyAlignment="0" applyProtection="0">
      <alignment vertical="center"/>
    </xf>
    <xf numFmtId="177" fontId="15" fillId="0" borderId="0">
      <alignment vertical="center"/>
    </xf>
    <xf numFmtId="177" fontId="15" fillId="0" borderId="0">
      <alignment vertical="center"/>
    </xf>
    <xf numFmtId="0" fontId="17" fillId="0" borderId="7" applyNumberFormat="0" applyFill="0" applyAlignment="0" applyProtection="0">
      <alignment vertical="center"/>
    </xf>
    <xf numFmtId="177" fontId="15" fillId="0" borderId="0">
      <alignment vertical="center"/>
    </xf>
    <xf numFmtId="0" fontId="15" fillId="9" borderId="0" applyNumberFormat="0" applyBorder="0" applyAlignment="0" applyProtection="0">
      <alignment vertical="center"/>
    </xf>
    <xf numFmtId="0" fontId="15" fillId="16" borderId="0" applyNumberFormat="0" applyBorder="0" applyAlignment="0" applyProtection="0">
      <alignment vertical="center"/>
    </xf>
    <xf numFmtId="177" fontId="15" fillId="0" borderId="0">
      <alignment vertical="center"/>
    </xf>
    <xf numFmtId="0" fontId="15" fillId="14" borderId="0" applyNumberFormat="0" applyBorder="0" applyAlignment="0" applyProtection="0">
      <alignment vertical="center"/>
    </xf>
    <xf numFmtId="0" fontId="18" fillId="18" borderId="0" applyNumberFormat="0" applyBorder="0" applyAlignment="0" applyProtection="0">
      <alignment vertical="center"/>
    </xf>
    <xf numFmtId="0" fontId="18" fillId="11" borderId="0" applyNumberFormat="0" applyBorder="0" applyAlignment="0" applyProtection="0">
      <alignment vertical="center"/>
    </xf>
    <xf numFmtId="0" fontId="15" fillId="13" borderId="0" applyNumberFormat="0" applyBorder="0" applyAlignment="0" applyProtection="0">
      <alignment vertical="center"/>
    </xf>
    <xf numFmtId="0" fontId="18" fillId="19" borderId="0" applyNumberFormat="0" applyBorder="0" applyAlignment="0" applyProtection="0">
      <alignment vertical="center"/>
    </xf>
    <xf numFmtId="0" fontId="15" fillId="20" borderId="0" applyNumberFormat="0" applyBorder="0" applyAlignment="0" applyProtection="0">
      <alignment vertical="center"/>
    </xf>
    <xf numFmtId="0" fontId="15" fillId="17" borderId="0" applyNumberFormat="0" applyBorder="0" applyAlignment="0" applyProtection="0">
      <alignment vertical="center"/>
    </xf>
    <xf numFmtId="0" fontId="15" fillId="11" borderId="0" applyNumberFormat="0" applyBorder="0" applyAlignment="0" applyProtection="0">
      <alignment vertical="center"/>
    </xf>
    <xf numFmtId="0" fontId="15" fillId="19" borderId="0" applyNumberFormat="0" applyBorder="0" applyAlignment="0" applyProtection="0">
      <alignment vertical="center"/>
    </xf>
    <xf numFmtId="0" fontId="15" fillId="8" borderId="0" applyNumberFormat="0" applyBorder="0" applyAlignment="0" applyProtection="0">
      <alignment vertical="center"/>
    </xf>
    <xf numFmtId="0" fontId="15" fillId="17" borderId="0" applyNumberFormat="0" applyBorder="0" applyAlignment="0" applyProtection="0">
      <alignment vertical="center"/>
    </xf>
    <xf numFmtId="0" fontId="18" fillId="12"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12"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21" fillId="11" borderId="0" applyNumberFormat="0" applyBorder="0" applyAlignment="0" applyProtection="0">
      <alignment vertical="center"/>
    </xf>
    <xf numFmtId="0" fontId="16" fillId="7" borderId="6" applyNumberFormat="0" applyAlignment="0" applyProtection="0">
      <alignment vertical="center"/>
    </xf>
    <xf numFmtId="0" fontId="22" fillId="26" borderId="9" applyNumberForma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16" borderId="0" applyNumberFormat="0" applyBorder="0" applyAlignment="0" applyProtection="0">
      <alignment vertical="center"/>
    </xf>
    <xf numFmtId="0" fontId="26" fillId="0" borderId="10" applyNumberFormat="0" applyFill="0" applyAlignment="0" applyProtection="0">
      <alignment vertical="center"/>
    </xf>
    <xf numFmtId="177" fontId="15" fillId="0" borderId="0">
      <alignment vertical="center"/>
    </xf>
    <xf numFmtId="0" fontId="27" fillId="0" borderId="11" applyNumberFormat="0" applyFill="0" applyAlignment="0" applyProtection="0">
      <alignment vertical="center"/>
    </xf>
    <xf numFmtId="177" fontId="15" fillId="0" borderId="0">
      <alignment vertical="center"/>
    </xf>
    <xf numFmtId="0" fontId="17" fillId="0" borderId="0" applyNumberFormat="0" applyFill="0" applyBorder="0" applyAlignment="0" applyProtection="0">
      <alignment vertical="center"/>
    </xf>
    <xf numFmtId="0" fontId="28" fillId="0" borderId="12" applyNumberFormat="0" applyFill="0" applyAlignment="0" applyProtection="0">
      <alignment vertical="center"/>
    </xf>
    <xf numFmtId="0" fontId="21" fillId="27" borderId="0" applyNumberFormat="0" applyBorder="0" applyAlignment="0" applyProtection="0">
      <alignment vertical="center"/>
    </xf>
    <xf numFmtId="177" fontId="15" fillId="0" borderId="0">
      <alignment vertical="center"/>
    </xf>
    <xf numFmtId="177" fontId="34" fillId="0" borderId="0">
      <alignment vertical="center"/>
    </xf>
    <xf numFmtId="177" fontId="34"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0" fontId="1" fillId="0" borderId="0">
      <alignment vertical="center"/>
    </xf>
    <xf numFmtId="177" fontId="34" fillId="0" borderId="0">
      <alignment vertical="center"/>
    </xf>
    <xf numFmtId="177" fontId="15" fillId="0" borderId="0">
      <alignment vertical="center"/>
    </xf>
    <xf numFmtId="177" fontId="15" fillId="0" borderId="0">
      <alignment vertical="center"/>
    </xf>
    <xf numFmtId="0" fontId="34" fillId="28" borderId="13" applyNumberFormat="0" applyFont="0" applyAlignment="0" applyProtection="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15" fillId="0" borderId="0">
      <alignment vertical="center"/>
    </xf>
    <xf numFmtId="177" fontId="34" fillId="0" borderId="0">
      <alignment vertical="center"/>
    </xf>
    <xf numFmtId="177" fontId="15" fillId="0" borderId="0">
      <alignment vertical="center"/>
    </xf>
    <xf numFmtId="177" fontId="15" fillId="0" borderId="0">
      <alignment vertical="center"/>
    </xf>
    <xf numFmtId="177" fontId="15" fillId="0" borderId="0">
      <alignment vertical="center"/>
    </xf>
    <xf numFmtId="177" fontId="34" fillId="0" borderId="0">
      <alignment vertical="center"/>
    </xf>
    <xf numFmtId="177" fontId="34" fillId="0" borderId="0">
      <alignment vertical="center"/>
    </xf>
    <xf numFmtId="177" fontId="34" fillId="0" borderId="0">
      <alignment vertical="center"/>
    </xf>
    <xf numFmtId="0" fontId="34" fillId="0" borderId="0">
      <alignment vertical="center"/>
    </xf>
    <xf numFmtId="0" fontId="29" fillId="7" borderId="14" applyNumberFormat="0" applyAlignment="0" applyProtection="0">
      <alignment vertical="center"/>
    </xf>
    <xf numFmtId="9" fontId="34" fillId="0" borderId="0" applyFont="0" applyFill="0" applyBorder="0" applyAlignment="0" applyProtection="0">
      <alignment vertical="center"/>
    </xf>
    <xf numFmtId="0" fontId="30" fillId="0" borderId="0" applyNumberFormat="0" applyFill="0" applyBorder="0" applyAlignment="0" applyProtection="0">
      <alignment vertical="center"/>
    </xf>
    <xf numFmtId="0" fontId="1" fillId="0" borderId="0">
      <alignment vertical="center"/>
    </xf>
    <xf numFmtId="0" fontId="20" fillId="0" borderId="8" applyNumberFormat="0" applyFill="0" applyAlignment="0" applyProtection="0">
      <alignment vertical="center"/>
    </xf>
    <xf numFmtId="0" fontId="31" fillId="0" borderId="0" applyNumberFormat="0" applyFill="0" applyBorder="0" applyAlignment="0" applyProtection="0">
      <alignment vertical="center"/>
    </xf>
    <xf numFmtId="176" fontId="34" fillId="0" borderId="0">
      <alignment vertical="center"/>
    </xf>
    <xf numFmtId="0" fontId="32" fillId="0" borderId="0">
      <alignment vertical="center"/>
    </xf>
  </cellStyleXfs>
  <cellXfs count="46">
    <xf numFmtId="177" fontId="0" fillId="0" borderId="0" xfId="0" applyAlignment="1"/>
    <xf numFmtId="0" fontId="1" fillId="0" borderId="0" xfId="59" applyAlignment="1">
      <alignment horizontal="center" vertical="center"/>
    </xf>
    <xf numFmtId="0" fontId="1" fillId="0" borderId="0" xfId="59">
      <alignment vertical="center"/>
    </xf>
    <xf numFmtId="0" fontId="6" fillId="4" borderId="1" xfId="59" applyFont="1" applyFill="1" applyBorder="1" applyAlignment="1">
      <alignment horizontal="center" vertical="center"/>
    </xf>
    <xf numFmtId="177" fontId="0" fillId="0" borderId="0" xfId="0" applyAlignment="1">
      <alignment horizontal="center"/>
    </xf>
    <xf numFmtId="177" fontId="9" fillId="6" borderId="4" xfId="0" applyFont="1" applyFill="1" applyBorder="1" applyAlignment="1">
      <alignment horizontal="center" vertical="center" wrapText="1"/>
    </xf>
    <xf numFmtId="177" fontId="9" fillId="6" borderId="1" xfId="0" applyFont="1" applyFill="1" applyBorder="1" applyAlignment="1">
      <alignment horizontal="center" vertical="center" wrapText="1"/>
    </xf>
    <xf numFmtId="2" fontId="10" fillId="6" borderId="4" xfId="0" applyNumberFormat="1" applyFont="1" applyFill="1" applyBorder="1" applyAlignment="1">
      <alignment horizontal="center" vertical="center" wrapText="1"/>
    </xf>
    <xf numFmtId="49" fontId="10" fillId="6" borderId="1" xfId="0" applyNumberFormat="1" applyFont="1" applyFill="1" applyBorder="1" applyAlignment="1">
      <alignment horizontal="left" vertical="center" wrapText="1"/>
    </xf>
    <xf numFmtId="49" fontId="10" fillId="6" borderId="1" xfId="0" applyNumberFormat="1" applyFont="1" applyFill="1" applyBorder="1" applyAlignment="1">
      <alignment horizontal="center" vertical="center" wrapText="1"/>
    </xf>
    <xf numFmtId="14" fontId="10" fillId="6" borderId="1" xfId="0" applyNumberFormat="1" applyFont="1" applyFill="1" applyBorder="1" applyAlignment="1">
      <alignment horizontal="center" vertical="center" wrapText="1"/>
    </xf>
    <xf numFmtId="2" fontId="11" fillId="6" borderId="4" xfId="0" applyNumberFormat="1" applyFont="1" applyFill="1" applyBorder="1" applyAlignment="1">
      <alignment horizontal="center" vertical="center" wrapText="1"/>
    </xf>
    <xf numFmtId="49" fontId="11" fillId="6" borderId="1" xfId="0" applyNumberFormat="1" applyFont="1" applyFill="1" applyBorder="1" applyAlignment="1">
      <alignment horizontal="left" vertical="center" wrapText="1"/>
    </xf>
    <xf numFmtId="49" fontId="11" fillId="6" borderId="1" xfId="0" applyNumberFormat="1" applyFont="1" applyFill="1" applyBorder="1" applyAlignment="1">
      <alignment horizontal="center" vertical="center" wrapText="1"/>
    </xf>
    <xf numFmtId="14" fontId="11" fillId="6" borderId="1" xfId="0" applyNumberFormat="1" applyFont="1" applyFill="1" applyBorder="1" applyAlignment="1">
      <alignment horizontal="center" vertical="center" wrapText="1"/>
    </xf>
    <xf numFmtId="2" fontId="11" fillId="6" borderId="1" xfId="0" applyNumberFormat="1" applyFont="1" applyFill="1" applyBorder="1" applyAlignment="1">
      <alignment horizontal="center" vertical="center" wrapText="1"/>
    </xf>
    <xf numFmtId="177" fontId="12" fillId="6" borderId="1" xfId="0" applyFont="1" applyFill="1" applyBorder="1" applyAlignment="1">
      <alignment horizontal="center"/>
    </xf>
    <xf numFmtId="177" fontId="0" fillId="6" borderId="1" xfId="0" applyFill="1" applyBorder="1" applyAlignment="1"/>
    <xf numFmtId="177" fontId="0" fillId="6" borderId="1" xfId="0" applyFill="1" applyBorder="1" applyAlignment="1">
      <alignment horizontal="center"/>
    </xf>
    <xf numFmtId="177" fontId="13" fillId="6" borderId="1" xfId="0" applyFont="1" applyFill="1" applyBorder="1" applyAlignment="1">
      <alignment horizontal="center"/>
    </xf>
    <xf numFmtId="177" fontId="0" fillId="6" borderId="0" xfId="0" applyFill="1" applyAlignment="1"/>
    <xf numFmtId="177" fontId="14" fillId="6" borderId="0" xfId="0" applyFont="1" applyFill="1" applyAlignment="1"/>
    <xf numFmtId="177" fontId="13" fillId="6" borderId="0" xfId="0" applyFont="1" applyFill="1" applyAlignment="1"/>
    <xf numFmtId="177" fontId="0" fillId="6" borderId="5" xfId="0" applyFill="1" applyBorder="1" applyAlignment="1"/>
    <xf numFmtId="177" fontId="12" fillId="6" borderId="0" xfId="0" applyFont="1" applyFill="1" applyAlignment="1">
      <alignment horizontal="left"/>
    </xf>
    <xf numFmtId="177" fontId="12" fillId="6" borderId="0" xfId="0" applyFont="1" applyFill="1" applyAlignment="1">
      <alignment horizontal="right"/>
    </xf>
    <xf numFmtId="49" fontId="36" fillId="6" borderId="1" xfId="0" applyNumberFormat="1" applyFont="1" applyFill="1" applyBorder="1" applyAlignment="1">
      <alignment horizontal="left" vertical="center" wrapText="1"/>
    </xf>
    <xf numFmtId="0" fontId="6" fillId="4" borderId="1" xfId="59" applyFont="1" applyFill="1" applyBorder="1" applyAlignment="1">
      <alignment horizontal="left" vertical="center"/>
    </xf>
    <xf numFmtId="0" fontId="1" fillId="0" borderId="0" xfId="59" applyAlignment="1">
      <alignment horizontal="left" vertical="center"/>
    </xf>
    <xf numFmtId="178" fontId="5" fillId="3" borderId="1" xfId="59" applyNumberFormat="1" applyFont="1" applyFill="1" applyBorder="1" applyAlignment="1">
      <alignment horizontal="center" vertical="center"/>
    </xf>
    <xf numFmtId="178" fontId="6" fillId="4" borderId="1" xfId="59" applyNumberFormat="1" applyFont="1" applyFill="1" applyBorder="1" applyAlignment="1">
      <alignment horizontal="center" vertical="center"/>
    </xf>
    <xf numFmtId="178" fontId="6" fillId="0" borderId="1" xfId="59" applyNumberFormat="1" applyFont="1" applyBorder="1" applyAlignment="1">
      <alignment horizontal="center" vertical="center"/>
    </xf>
    <xf numFmtId="178" fontId="7" fillId="5" borderId="1" xfId="0" applyNumberFormat="1" applyFont="1" applyFill="1" applyBorder="1" applyAlignment="1">
      <alignment horizontal="center" vertical="center" wrapText="1"/>
    </xf>
    <xf numFmtId="178" fontId="1" fillId="0" borderId="0" xfId="59" applyNumberFormat="1" applyAlignment="1">
      <alignment horizontal="center" vertical="center"/>
    </xf>
    <xf numFmtId="177" fontId="6" fillId="0" borderId="1" xfId="0" applyFont="1" applyBorder="1" applyAlignment="1">
      <alignment horizontal="center" vertical="center"/>
    </xf>
    <xf numFmtId="177" fontId="6" fillId="0" borderId="1" xfId="0" applyFont="1" applyBorder="1" applyAlignment="1">
      <alignment horizontal="left" vertical="center"/>
    </xf>
    <xf numFmtId="178" fontId="7" fillId="0" borderId="1" xfId="0" applyNumberFormat="1" applyFont="1" applyBorder="1" applyAlignment="1">
      <alignment horizontal="center" vertical="center" wrapText="1"/>
    </xf>
    <xf numFmtId="177" fontId="37" fillId="6" borderId="0" xfId="0" applyFont="1" applyFill="1" applyAlignment="1">
      <alignment horizontal="left" vertical="top" wrapText="1"/>
    </xf>
    <xf numFmtId="177" fontId="43" fillId="6" borderId="0" xfId="0" applyFont="1" applyFill="1" applyAlignment="1">
      <alignment horizontal="left" vertical="top" wrapText="1"/>
    </xf>
    <xf numFmtId="177" fontId="8" fillId="6" borderId="1" xfId="0" applyFont="1" applyFill="1" applyBorder="1" applyAlignment="1">
      <alignment horizontal="center" vertical="center"/>
    </xf>
    <xf numFmtId="0" fontId="2" fillId="2" borderId="1" xfId="59" applyFont="1" applyFill="1" applyBorder="1" applyAlignment="1">
      <alignment horizontal="center" vertical="center"/>
    </xf>
    <xf numFmtId="178" fontId="4" fillId="3" borderId="1" xfId="59" applyNumberFormat="1" applyFont="1" applyFill="1" applyBorder="1" applyAlignment="1">
      <alignment horizontal="center" vertical="center"/>
    </xf>
    <xf numFmtId="0" fontId="3" fillId="3" borderId="2" xfId="59" applyFont="1" applyFill="1" applyBorder="1" applyAlignment="1">
      <alignment horizontal="center" vertical="center"/>
    </xf>
    <xf numFmtId="0" fontId="3" fillId="3" borderId="3" xfId="59" applyFont="1" applyFill="1" applyBorder="1" applyAlignment="1">
      <alignment horizontal="center" vertical="center"/>
    </xf>
    <xf numFmtId="178" fontId="6" fillId="0" borderId="1" xfId="59" applyNumberFormat="1" applyFont="1" applyFill="1" applyBorder="1" applyAlignment="1">
      <alignment horizontal="center" vertical="center"/>
    </xf>
    <xf numFmtId="178" fontId="7" fillId="0" borderId="1" xfId="0" applyNumberFormat="1" applyFont="1" applyFill="1" applyBorder="1" applyAlignment="1">
      <alignment horizontal="center" vertical="center" wrapText="1"/>
    </xf>
  </cellXfs>
  <cellStyles count="85">
    <cellStyle name="20% - Accent1" xfId="18" xr:uid="{00000000-0005-0000-0000-000042000000}"/>
    <cellStyle name="20% - Accent2" xfId="10" xr:uid="{00000000-0005-0000-0000-00002D000000}"/>
    <cellStyle name="20% - Accent3" xfId="11" xr:uid="{00000000-0005-0000-0000-000030000000}"/>
    <cellStyle name="20% - Accent4" xfId="3" xr:uid="{00000000-0005-0000-0000-000008000000}"/>
    <cellStyle name="20% - Accent5" xfId="13" xr:uid="{00000000-0005-0000-0000-000036000000}"/>
    <cellStyle name="20% - Accent6" xfId="16" xr:uid="{00000000-0005-0000-0000-000040000000}"/>
    <cellStyle name="40% - Accent1" xfId="19" xr:uid="{00000000-0005-0000-0000-000043000000}"/>
    <cellStyle name="40% - Accent2" xfId="20" xr:uid="{00000000-0005-0000-0000-000044000000}"/>
    <cellStyle name="40% - Accent3" xfId="21" xr:uid="{00000000-0005-0000-0000-000045000000}"/>
    <cellStyle name="40% - Accent4" xfId="22" xr:uid="{00000000-0005-0000-0000-000046000000}"/>
    <cellStyle name="40% - Accent5" xfId="23" xr:uid="{00000000-0005-0000-0000-000047000000}"/>
    <cellStyle name="40% - Accent6" xfId="4" xr:uid="{00000000-0005-0000-0000-000010000000}"/>
    <cellStyle name="60% - Accent1" xfId="14" xr:uid="{00000000-0005-0000-0000-000037000000}"/>
    <cellStyle name="60% - Accent2" xfId="15" xr:uid="{00000000-0005-0000-0000-00003A000000}"/>
    <cellStyle name="60% - Accent3" xfId="17" xr:uid="{00000000-0005-0000-0000-000041000000}"/>
    <cellStyle name="60% - Accent4" xfId="24" xr:uid="{00000000-0005-0000-0000-000048000000}"/>
    <cellStyle name="60% - Accent5" xfId="25" xr:uid="{00000000-0005-0000-0000-000049000000}"/>
    <cellStyle name="60% - Accent6" xfId="26" xr:uid="{00000000-0005-0000-0000-00004A000000}"/>
    <cellStyle name="Accent1" xfId="27" xr:uid="{00000000-0005-0000-0000-00004B000000}"/>
    <cellStyle name="Accent2" xfId="28" xr:uid="{00000000-0005-0000-0000-00004C000000}"/>
    <cellStyle name="Accent3" xfId="29" xr:uid="{00000000-0005-0000-0000-00004D000000}"/>
    <cellStyle name="Accent4" xfId="30" xr:uid="{00000000-0005-0000-0000-00004E000000}"/>
    <cellStyle name="Accent5" xfId="31" xr:uid="{00000000-0005-0000-0000-00004F000000}"/>
    <cellStyle name="Accent6" xfId="32" xr:uid="{00000000-0005-0000-0000-000050000000}"/>
    <cellStyle name="Bad" xfId="33" xr:uid="{00000000-0005-0000-0000-000051000000}"/>
    <cellStyle name="Calculation" xfId="34" xr:uid="{00000000-0005-0000-0000-000052000000}"/>
    <cellStyle name="Check Cell" xfId="35" xr:uid="{00000000-0005-0000-0000-000053000000}"/>
    <cellStyle name="Explanatory Text" xfId="36" xr:uid="{00000000-0005-0000-0000-000054000000}"/>
    <cellStyle name="Good" xfId="38" xr:uid="{00000000-0005-0000-0000-000056000000}"/>
    <cellStyle name="Heading 1" xfId="39" xr:uid="{00000000-0005-0000-0000-000057000000}"/>
    <cellStyle name="Heading 2" xfId="41" xr:uid="{00000000-0005-0000-0000-000059000000}"/>
    <cellStyle name="Heading 3" xfId="8" xr:uid="{00000000-0005-0000-0000-000028000000}"/>
    <cellStyle name="Heading 4" xfId="43" xr:uid="{00000000-0005-0000-0000-00005B000000}"/>
    <cellStyle name="Input" xfId="5" xr:uid="{00000000-0005-0000-0000-00001E000000}"/>
    <cellStyle name="Linked Cell" xfId="44" xr:uid="{00000000-0005-0000-0000-00005C000000}"/>
    <cellStyle name="Neutral" xfId="45" xr:uid="{00000000-0005-0000-0000-00005D000000}"/>
    <cellStyle name="Normal 2" xfId="46" xr:uid="{00000000-0005-0000-0000-00005E000000}"/>
    <cellStyle name="Normal 2 2" xfId="47" xr:uid="{00000000-0005-0000-0000-00005F000000}"/>
    <cellStyle name="Normal 2 2 2" xfId="48" xr:uid="{00000000-0005-0000-0000-000060000000}"/>
    <cellStyle name="Normal 2 3" xfId="49" xr:uid="{00000000-0005-0000-0000-000061000000}"/>
    <cellStyle name="Normal 2 3 2" xfId="50" xr:uid="{00000000-0005-0000-0000-000062000000}"/>
    <cellStyle name="Normal 2 3 2 2" xfId="6" xr:uid="{00000000-0005-0000-0000-000024000000}"/>
    <cellStyle name="Normal 2 3 3" xfId="51" xr:uid="{00000000-0005-0000-0000-000063000000}"/>
    <cellStyle name="Normal 2 4" xfId="52" xr:uid="{00000000-0005-0000-0000-000064000000}"/>
    <cellStyle name="Normal 2 4 2" xfId="53" xr:uid="{00000000-0005-0000-0000-000065000000}"/>
    <cellStyle name="Normal 2 5" xfId="54" xr:uid="{00000000-0005-0000-0000-000066000000}"/>
    <cellStyle name="Normal 3" xfId="55" xr:uid="{00000000-0005-0000-0000-000067000000}"/>
    <cellStyle name="Normal 3 2" xfId="56" xr:uid="{00000000-0005-0000-0000-000068000000}"/>
    <cellStyle name="Normal 3 2 2" xfId="1" xr:uid="{00000000-0005-0000-0000-000003000000}"/>
    <cellStyle name="Normal 3 2 2 2" xfId="42" xr:uid="{00000000-0005-0000-0000-00005A000000}"/>
    <cellStyle name="Normal 3 2 2 2 2" xfId="57" xr:uid="{00000000-0005-0000-0000-000069000000}"/>
    <cellStyle name="Normal 3 2 2 3" xfId="7" xr:uid="{00000000-0005-0000-0000-000027000000}"/>
    <cellStyle name="Normal 3 2 3" xfId="12" xr:uid="{00000000-0005-0000-0000-000035000000}"/>
    <cellStyle name="Normal 3 2 3 2" xfId="58" xr:uid="{00000000-0005-0000-0000-00006A000000}"/>
    <cellStyle name="Normal 3 2 4" xfId="9" xr:uid="{00000000-0005-0000-0000-00002A000000}"/>
    <cellStyle name="Normal 3 3" xfId="60" xr:uid="{00000000-0005-0000-0000-00006C000000}"/>
    <cellStyle name="Normal 3 4" xfId="61" xr:uid="{00000000-0005-0000-0000-00006D000000}"/>
    <cellStyle name="Normal 3 4 2" xfId="62" xr:uid="{00000000-0005-0000-0000-00006E000000}"/>
    <cellStyle name="Normal 3 4 2 2" xfId="64" xr:uid="{00000000-0005-0000-0000-000070000000}"/>
    <cellStyle name="Normal 3 4 3" xfId="65" xr:uid="{00000000-0005-0000-0000-000071000000}"/>
    <cellStyle name="Normal 3 5" xfId="66" xr:uid="{00000000-0005-0000-0000-000072000000}"/>
    <cellStyle name="Normal 3 5 2" xfId="67" xr:uid="{00000000-0005-0000-0000-000073000000}"/>
    <cellStyle name="Normal 3 6" xfId="68" xr:uid="{00000000-0005-0000-0000-000074000000}"/>
    <cellStyle name="Normal 4" xfId="69" xr:uid="{00000000-0005-0000-0000-000075000000}"/>
    <cellStyle name="Normal 5" xfId="70" xr:uid="{00000000-0005-0000-0000-000076000000}"/>
    <cellStyle name="Normal 5 2" xfId="71" xr:uid="{00000000-0005-0000-0000-000077000000}"/>
    <cellStyle name="Normal 5 2 2" xfId="72" xr:uid="{00000000-0005-0000-0000-000078000000}"/>
    <cellStyle name="Normal 5 3" xfId="40" xr:uid="{00000000-0005-0000-0000-000058000000}"/>
    <cellStyle name="Normal 6" xfId="73" xr:uid="{00000000-0005-0000-0000-000079000000}"/>
    <cellStyle name="Normal 7" xfId="74" xr:uid="{00000000-0005-0000-0000-00007A000000}"/>
    <cellStyle name="Normal 7 2" xfId="2" xr:uid="{00000000-0005-0000-0000-000007000000}"/>
    <cellStyle name="Normal 8" xfId="75" xr:uid="{00000000-0005-0000-0000-00007B000000}"/>
    <cellStyle name="Normal 9" xfId="76" xr:uid="{00000000-0005-0000-0000-00007C000000}"/>
    <cellStyle name="Note" xfId="63" xr:uid="{00000000-0005-0000-0000-00006F000000}"/>
    <cellStyle name="Output" xfId="77" xr:uid="{00000000-0005-0000-0000-00007D000000}"/>
    <cellStyle name="Percent 2" xfId="78" xr:uid="{00000000-0005-0000-0000-00007E000000}"/>
    <cellStyle name="RowLevel_1" xfId="37" xr:uid="{00000000-0005-0000-0000-000055000000}"/>
    <cellStyle name="Title" xfId="79" xr:uid="{00000000-0005-0000-0000-00007F000000}"/>
    <cellStyle name="Total" xfId="81" xr:uid="{00000000-0005-0000-0000-000081000000}"/>
    <cellStyle name="Warning Text" xfId="82" xr:uid="{00000000-0005-0000-0000-000082000000}"/>
    <cellStyle name="常规" xfId="0" builtinId="0"/>
    <cellStyle name="常规 2" xfId="80" xr:uid="{00000000-0005-0000-0000-000080000000}"/>
    <cellStyle name="常规 3" xfId="59" xr:uid="{00000000-0005-0000-0000-00006B000000}"/>
    <cellStyle name="常规 6 4" xfId="83" xr:uid="{00000000-0005-0000-0000-000083000000}"/>
    <cellStyle name="一般_Sheet1" xfId="84" xr:uid="{00000000-0005-0000-0000-000084000000}"/>
  </cellStyles>
  <dxfs count="0"/>
  <tableStyles count="0" defaultTableStyle="TableStyleMedium2" defaultPivotStyle="PivotStyleLight16"/>
  <colors>
    <mruColors>
      <color rgb="FF0099FF"/>
      <color rgb="FF3399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2113672</xdr:colOff>
      <xdr:row>3</xdr:row>
      <xdr:rowOff>141595</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tabSelected="1" zoomScaleNormal="100" workbookViewId="0">
      <selection activeCell="A13" sqref="A13"/>
    </sheetView>
  </sheetViews>
  <sheetFormatPr defaultColWidth="0" defaultRowHeight="12.75" zeroHeight="1" x14ac:dyDescent="0.2"/>
  <cols>
    <col min="1" max="2" width="27.5703125" customWidth="1"/>
    <col min="3" max="3" width="32.42578125" customWidth="1"/>
    <col min="4" max="4" width="18" hidden="1" customWidth="1"/>
    <col min="5" max="5" width="9.140625" hidden="1" customWidth="1"/>
    <col min="6" max="16384" width="9.140625" hidden="1"/>
  </cols>
  <sheetData>
    <row r="1" spans="1:3" x14ac:dyDescent="0.2">
      <c r="A1" s="20"/>
      <c r="B1" s="20"/>
      <c r="C1" s="20"/>
    </row>
    <row r="2" spans="1:3" x14ac:dyDescent="0.2">
      <c r="A2" s="20"/>
      <c r="B2" s="20"/>
      <c r="C2" s="20"/>
    </row>
    <row r="3" spans="1:3" x14ac:dyDescent="0.2">
      <c r="A3" s="20"/>
      <c r="B3" s="20"/>
      <c r="C3" s="20"/>
    </row>
    <row r="4" spans="1:3" x14ac:dyDescent="0.2">
      <c r="A4" s="20"/>
      <c r="B4" s="20"/>
      <c r="C4" s="20"/>
    </row>
    <row r="5" spans="1:3" ht="24.75" customHeight="1" x14ac:dyDescent="0.2">
      <c r="A5" s="20"/>
      <c r="B5" s="20"/>
      <c r="C5" s="20"/>
    </row>
    <row r="6" spans="1:3" ht="24.75" customHeight="1" x14ac:dyDescent="0.2">
      <c r="A6" s="20"/>
      <c r="B6" s="20"/>
      <c r="C6" s="20"/>
    </row>
    <row r="7" spans="1:3" ht="24.75" customHeight="1" x14ac:dyDescent="0.2">
      <c r="A7" s="20"/>
      <c r="B7" s="20"/>
      <c r="C7" s="20"/>
    </row>
    <row r="8" spans="1:3" ht="24.75" customHeight="1" x14ac:dyDescent="0.2">
      <c r="A8" s="20"/>
      <c r="B8" s="20"/>
      <c r="C8" s="20"/>
    </row>
    <row r="9" spans="1:3" ht="24.75" customHeight="1" x14ac:dyDescent="0.2">
      <c r="A9" s="20"/>
      <c r="B9" s="20"/>
      <c r="C9" s="20"/>
    </row>
    <row r="10" spans="1:3" ht="24.75" customHeight="1" x14ac:dyDescent="0.2">
      <c r="A10" s="20"/>
      <c r="B10" s="20"/>
      <c r="C10" s="20"/>
    </row>
    <row r="11" spans="1:3" ht="24.75" customHeight="1" x14ac:dyDescent="0.2">
      <c r="A11" s="20"/>
      <c r="B11" s="20"/>
      <c r="C11" s="20"/>
    </row>
    <row r="12" spans="1:3" ht="33.75" x14ac:dyDescent="0.5">
      <c r="A12" s="21" t="s">
        <v>381</v>
      </c>
      <c r="B12" s="20"/>
      <c r="C12" s="20"/>
    </row>
    <row r="13" spans="1:3" x14ac:dyDescent="0.2">
      <c r="A13" s="23"/>
      <c r="B13" s="23"/>
      <c r="C13" s="23"/>
    </row>
    <row r="14" spans="1:3" ht="20.100000000000001" customHeight="1" x14ac:dyDescent="0.2">
      <c r="A14" s="20"/>
      <c r="B14" s="20"/>
      <c r="C14" s="20"/>
    </row>
    <row r="15" spans="1:3" ht="20.100000000000001" customHeight="1" x14ac:dyDescent="0.3">
      <c r="A15" s="24" t="s">
        <v>32</v>
      </c>
      <c r="B15" s="25"/>
      <c r="C15" s="20"/>
    </row>
    <row r="16" spans="1:3" ht="20.100000000000001" customHeight="1" x14ac:dyDescent="0.3">
      <c r="A16" s="24" t="s">
        <v>35</v>
      </c>
      <c r="B16" s="25"/>
      <c r="C16" s="20"/>
    </row>
    <row r="17" spans="1:3" ht="20.100000000000001" customHeight="1" x14ac:dyDescent="0.3">
      <c r="A17" s="24" t="s">
        <v>33</v>
      </c>
      <c r="B17" s="20"/>
      <c r="C17" s="20"/>
    </row>
    <row r="18" spans="1:3" ht="20.100000000000001" customHeight="1" x14ac:dyDescent="0.2">
      <c r="A18" s="20"/>
      <c r="B18" s="20"/>
      <c r="C18" s="20"/>
    </row>
    <row r="19" spans="1:3" ht="18.75" customHeight="1" x14ac:dyDescent="0.2">
      <c r="A19" s="20"/>
      <c r="B19" s="20"/>
      <c r="C19" s="20"/>
    </row>
    <row r="20" spans="1:3" ht="18.75" customHeight="1" x14ac:dyDescent="0.2">
      <c r="A20" s="20"/>
      <c r="B20" s="20"/>
      <c r="C20" s="20"/>
    </row>
    <row r="21" spans="1:3" ht="18.75" customHeight="1" x14ac:dyDescent="0.2">
      <c r="A21" s="20"/>
      <c r="B21" s="20"/>
      <c r="C21" s="20"/>
    </row>
    <row r="22" spans="1:3" ht="18.75" customHeight="1" x14ac:dyDescent="0.2">
      <c r="A22" s="20"/>
      <c r="B22" s="20"/>
      <c r="C22" s="20"/>
    </row>
    <row r="23" spans="1:3" ht="18.75" customHeight="1" x14ac:dyDescent="0.2">
      <c r="A23" s="20"/>
      <c r="B23" s="20"/>
      <c r="C23" s="20"/>
    </row>
    <row r="24" spans="1:3" ht="18.75" customHeight="1" x14ac:dyDescent="0.2">
      <c r="A24" s="20"/>
      <c r="B24" s="20"/>
      <c r="C24" s="20"/>
    </row>
    <row r="25" spans="1:3" ht="18.75" customHeight="1" x14ac:dyDescent="0.2">
      <c r="A25" s="20"/>
      <c r="B25" s="20"/>
      <c r="C25" s="20"/>
    </row>
    <row r="26" spans="1:3" ht="18.75" customHeight="1" x14ac:dyDescent="0.2">
      <c r="A26" s="20"/>
      <c r="B26" s="20"/>
      <c r="C26" s="20"/>
    </row>
    <row r="27" spans="1:3" ht="18.75" customHeight="1" x14ac:dyDescent="0.2">
      <c r="A27" s="20"/>
      <c r="B27" s="20"/>
      <c r="C27" s="20"/>
    </row>
    <row r="28" spans="1:3" ht="18.75" customHeight="1" x14ac:dyDescent="0.35">
      <c r="A28" s="22" t="s">
        <v>0</v>
      </c>
      <c r="B28" s="20"/>
      <c r="C28" s="20"/>
    </row>
    <row r="29" spans="1:3" ht="18.75" customHeight="1" x14ac:dyDescent="0.2">
      <c r="A29" s="20"/>
      <c r="B29" s="20"/>
      <c r="C29" s="20"/>
    </row>
  </sheetData>
  <phoneticPr fontId="35" type="noConversion"/>
  <pageMargins left="0.75" right="0.75" top="1" bottom="1" header="0.51" footer="0.51"/>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49D0-7A64-48A6-B57D-68EA5F7A2FB4}">
  <sheetPr>
    <tabColor rgb="FF0099FF"/>
  </sheetPr>
  <dimension ref="A1:D29"/>
  <sheetViews>
    <sheetView workbookViewId="0">
      <selection activeCell="B9" sqref="B9"/>
    </sheetView>
  </sheetViews>
  <sheetFormatPr defaultColWidth="0" defaultRowHeight="12.75" zeroHeight="1" x14ac:dyDescent="0.2"/>
  <cols>
    <col min="1" max="2" width="26" customWidth="1"/>
    <col min="3" max="3" width="30.5703125" customWidth="1"/>
    <col min="4" max="4" width="16.85546875" hidden="1" customWidth="1"/>
    <col min="5" max="16384" width="8.5703125" hidden="1"/>
  </cols>
  <sheetData>
    <row r="1" spans="1:3" x14ac:dyDescent="0.2">
      <c r="A1" s="20"/>
      <c r="B1" s="20"/>
      <c r="C1" s="20"/>
    </row>
    <row r="2" spans="1:3" x14ac:dyDescent="0.2">
      <c r="A2" s="20"/>
      <c r="B2" s="20"/>
      <c r="C2" s="20"/>
    </row>
    <row r="3" spans="1:3" x14ac:dyDescent="0.2">
      <c r="A3" s="20"/>
      <c r="B3" s="20"/>
      <c r="C3" s="20"/>
    </row>
    <row r="4" spans="1:3" x14ac:dyDescent="0.2">
      <c r="A4" s="20"/>
      <c r="B4" s="20"/>
      <c r="C4" s="20"/>
    </row>
    <row r="5" spans="1:3" x14ac:dyDescent="0.2">
      <c r="A5" s="20"/>
      <c r="B5" s="20"/>
      <c r="C5" s="20"/>
    </row>
    <row r="6" spans="1:3" x14ac:dyDescent="0.2">
      <c r="A6" s="20"/>
      <c r="B6" s="20"/>
      <c r="C6" s="20"/>
    </row>
    <row r="7" spans="1:3" x14ac:dyDescent="0.2">
      <c r="A7" s="20"/>
      <c r="B7" s="20"/>
      <c r="C7" s="20"/>
    </row>
    <row r="8" spans="1:3" x14ac:dyDescent="0.2">
      <c r="A8" s="20"/>
      <c r="B8" s="20"/>
      <c r="C8" s="20"/>
    </row>
    <row r="9" spans="1:3" x14ac:dyDescent="0.2">
      <c r="A9" s="20"/>
      <c r="B9" s="20"/>
      <c r="C9" s="20"/>
    </row>
    <row r="10" spans="1:3" x14ac:dyDescent="0.2">
      <c r="A10" s="20"/>
      <c r="B10" s="20"/>
      <c r="C10" s="20"/>
    </row>
    <row r="11" spans="1:3" x14ac:dyDescent="0.2">
      <c r="A11" s="20"/>
      <c r="B11" s="20"/>
      <c r="C11" s="20"/>
    </row>
    <row r="12" spans="1:3" ht="33.75" x14ac:dyDescent="0.5">
      <c r="A12" s="21"/>
      <c r="B12" s="20"/>
      <c r="C12" s="20"/>
    </row>
    <row r="13" spans="1:3" x14ac:dyDescent="0.2">
      <c r="A13" s="20"/>
      <c r="B13" s="20"/>
      <c r="C13" s="20"/>
    </row>
    <row r="14" spans="1:3" x14ac:dyDescent="0.2">
      <c r="A14" s="37" t="s">
        <v>31</v>
      </c>
      <c r="B14" s="38"/>
      <c r="C14" s="38"/>
    </row>
    <row r="15" spans="1:3" x14ac:dyDescent="0.2">
      <c r="A15" s="38"/>
      <c r="B15" s="38"/>
      <c r="C15" s="38"/>
    </row>
    <row r="16" spans="1:3" x14ac:dyDescent="0.2">
      <c r="A16" s="38"/>
      <c r="B16" s="38"/>
      <c r="C16" s="38"/>
    </row>
    <row r="17" spans="1:3" x14ac:dyDescent="0.2">
      <c r="A17" s="38"/>
      <c r="B17" s="38"/>
      <c r="C17" s="38"/>
    </row>
    <row r="18" spans="1:3" x14ac:dyDescent="0.2">
      <c r="A18" s="38"/>
      <c r="B18" s="38"/>
      <c r="C18" s="38"/>
    </row>
    <row r="19" spans="1:3" x14ac:dyDescent="0.2">
      <c r="A19" s="38"/>
      <c r="B19" s="38"/>
      <c r="C19" s="38"/>
    </row>
    <row r="20" spans="1:3" x14ac:dyDescent="0.2">
      <c r="A20" s="38"/>
      <c r="B20" s="38"/>
      <c r="C20" s="38"/>
    </row>
    <row r="21" spans="1:3" x14ac:dyDescent="0.2">
      <c r="A21" s="38"/>
      <c r="B21" s="38"/>
      <c r="C21" s="38"/>
    </row>
    <row r="22" spans="1:3" x14ac:dyDescent="0.2">
      <c r="A22" s="38"/>
      <c r="B22" s="38"/>
      <c r="C22" s="38"/>
    </row>
    <row r="23" spans="1:3" x14ac:dyDescent="0.2">
      <c r="A23" s="38"/>
      <c r="B23" s="38"/>
      <c r="C23" s="38"/>
    </row>
    <row r="24" spans="1:3" x14ac:dyDescent="0.2">
      <c r="A24" s="38"/>
      <c r="B24" s="38"/>
      <c r="C24" s="38"/>
    </row>
    <row r="25" spans="1:3" x14ac:dyDescent="0.2">
      <c r="A25" s="38"/>
      <c r="B25" s="38"/>
      <c r="C25" s="38"/>
    </row>
    <row r="26" spans="1:3" x14ac:dyDescent="0.2">
      <c r="A26" s="38"/>
      <c r="B26" s="38"/>
      <c r="C26" s="38"/>
    </row>
    <row r="27" spans="1:3" x14ac:dyDescent="0.2">
      <c r="A27" s="20"/>
      <c r="B27" s="20"/>
      <c r="C27" s="20"/>
    </row>
    <row r="28" spans="1:3" ht="18" x14ac:dyDescent="0.35">
      <c r="A28" s="22"/>
      <c r="B28" s="20"/>
      <c r="C28" s="20"/>
    </row>
    <row r="29" spans="1:3" x14ac:dyDescent="0.2">
      <c r="A29" s="20"/>
      <c r="B29" s="20"/>
      <c r="C29" s="20"/>
    </row>
  </sheetData>
  <sheetProtection algorithmName="SHA-512" hashValue="9AfAl9TUkK6TRIdpXX6rrgLmfWvQjRai5Tsc6bxGhxEiBnaPzkXB9dUibXMU1sVyjD6nOJzmsolRl+D/+lKDNA==" saltValue="qg1odfLdQrcjgO0UHYAsiA==" spinCount="100000" sheet="1" objects="1" scenarios="1"/>
  <mergeCells count="1">
    <mergeCell ref="A14:C26"/>
  </mergeCells>
  <phoneticPr fontId="3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29"/>
  <sheetViews>
    <sheetView workbookViewId="0">
      <selection activeCell="C5" sqref="C5"/>
    </sheetView>
  </sheetViews>
  <sheetFormatPr defaultColWidth="0" defaultRowHeight="12.75" customHeight="1" zeroHeight="1" x14ac:dyDescent="0.2"/>
  <cols>
    <col min="1" max="1" width="9.140625" style="4" customWidth="1"/>
    <col min="2" max="2" width="60.5703125" customWidth="1"/>
    <col min="3" max="3" width="15" style="4" customWidth="1"/>
    <col min="4" max="4" width="14.28515625" style="4" customWidth="1"/>
    <col min="5" max="5" width="18" hidden="1" customWidth="1"/>
    <col min="6" max="6" width="9.140625" hidden="1" customWidth="1"/>
    <col min="7" max="16384" width="9.140625" hidden="1"/>
  </cols>
  <sheetData>
    <row r="1" spans="1:4" ht="15" customHeight="1" x14ac:dyDescent="0.2">
      <c r="A1" s="39" t="s">
        <v>1</v>
      </c>
      <c r="B1" s="39"/>
      <c r="C1" s="39"/>
      <c r="D1" s="39"/>
    </row>
    <row r="2" spans="1:4" ht="14.25" customHeight="1" x14ac:dyDescent="0.2">
      <c r="A2" s="39"/>
      <c r="B2" s="39"/>
      <c r="C2" s="39"/>
      <c r="D2" s="39"/>
    </row>
    <row r="3" spans="1:4" ht="14.25" x14ac:dyDescent="0.2">
      <c r="A3" s="5" t="s">
        <v>2</v>
      </c>
      <c r="B3" s="6" t="s">
        <v>3</v>
      </c>
      <c r="C3" s="6" t="s">
        <v>4</v>
      </c>
      <c r="D3" s="6" t="s">
        <v>5</v>
      </c>
    </row>
    <row r="4" spans="1:4" ht="25.35" customHeight="1" x14ac:dyDescent="0.2">
      <c r="A4" s="7" t="s">
        <v>34</v>
      </c>
      <c r="B4" s="26" t="s">
        <v>23</v>
      </c>
      <c r="C4" s="9" t="s">
        <v>36</v>
      </c>
      <c r="D4" s="10" t="s">
        <v>37</v>
      </c>
    </row>
    <row r="5" spans="1:4" ht="25.35" customHeight="1" x14ac:dyDescent="0.2">
      <c r="A5" s="7"/>
      <c r="B5" s="8"/>
      <c r="C5" s="9"/>
      <c r="D5" s="10"/>
    </row>
    <row r="6" spans="1:4" ht="25.35" customHeight="1" x14ac:dyDescent="0.2">
      <c r="A6" s="7"/>
      <c r="B6" s="8"/>
      <c r="C6" s="9"/>
      <c r="D6" s="10"/>
    </row>
    <row r="7" spans="1:4" ht="25.35" customHeight="1" x14ac:dyDescent="0.2">
      <c r="A7" s="7"/>
      <c r="B7" s="8"/>
      <c r="C7" s="9"/>
      <c r="D7" s="10"/>
    </row>
    <row r="8" spans="1:4" ht="25.35" customHeight="1" x14ac:dyDescent="0.2">
      <c r="A8" s="7"/>
      <c r="B8" s="8"/>
      <c r="C8" s="9"/>
      <c r="D8" s="10"/>
    </row>
    <row r="9" spans="1:4" ht="25.35" customHeight="1" x14ac:dyDescent="0.2">
      <c r="A9" s="7"/>
      <c r="B9" s="8"/>
      <c r="C9" s="9"/>
      <c r="D9" s="10"/>
    </row>
    <row r="10" spans="1:4" ht="25.35" customHeight="1" x14ac:dyDescent="0.2">
      <c r="A10" s="7"/>
      <c r="B10" s="8"/>
      <c r="C10" s="9"/>
      <c r="D10" s="10"/>
    </row>
    <row r="11" spans="1:4" ht="25.35" customHeight="1" x14ac:dyDescent="0.2">
      <c r="A11" s="7"/>
      <c r="B11" s="8"/>
      <c r="C11" s="9"/>
      <c r="D11" s="10"/>
    </row>
    <row r="12" spans="1:4" ht="25.35" customHeight="1" x14ac:dyDescent="0.2">
      <c r="A12" s="11"/>
      <c r="B12" s="12"/>
      <c r="C12" s="13"/>
      <c r="D12" s="14"/>
    </row>
    <row r="13" spans="1:4" ht="25.35" customHeight="1" x14ac:dyDescent="0.2">
      <c r="A13" s="11"/>
      <c r="B13" s="12"/>
      <c r="C13" s="13"/>
      <c r="D13" s="14"/>
    </row>
    <row r="14" spans="1:4" ht="25.35" customHeight="1" x14ac:dyDescent="0.2">
      <c r="A14" s="11"/>
      <c r="B14" s="12"/>
      <c r="C14" s="13"/>
      <c r="D14" s="14"/>
    </row>
    <row r="15" spans="1:4" ht="25.35" customHeight="1" x14ac:dyDescent="0.2">
      <c r="A15" s="11"/>
      <c r="B15" s="12"/>
      <c r="C15" s="13"/>
      <c r="D15" s="14"/>
    </row>
    <row r="16" spans="1:4" ht="25.35" customHeight="1" x14ac:dyDescent="0.2">
      <c r="A16" s="15"/>
      <c r="B16" s="12"/>
      <c r="C16" s="13"/>
      <c r="D16" s="14"/>
    </row>
    <row r="17" spans="1:4" ht="25.35" customHeight="1" x14ac:dyDescent="0.3">
      <c r="A17" s="16"/>
      <c r="B17" s="17"/>
      <c r="C17" s="18"/>
      <c r="D17" s="18"/>
    </row>
    <row r="18" spans="1:4" ht="25.35" customHeight="1" x14ac:dyDescent="0.2">
      <c r="A18" s="18"/>
      <c r="B18" s="17"/>
      <c r="C18" s="18"/>
      <c r="D18" s="18"/>
    </row>
    <row r="19" spans="1:4" ht="25.35" customHeight="1" x14ac:dyDescent="0.2">
      <c r="A19" s="18"/>
      <c r="B19" s="17"/>
      <c r="C19" s="18"/>
      <c r="D19" s="18"/>
    </row>
    <row r="20" spans="1:4" ht="25.35" customHeight="1" x14ac:dyDescent="0.2">
      <c r="A20" s="18"/>
      <c r="B20" s="17"/>
      <c r="C20" s="18"/>
      <c r="D20" s="18"/>
    </row>
    <row r="21" spans="1:4" ht="25.35" customHeight="1" x14ac:dyDescent="0.2">
      <c r="A21" s="18"/>
      <c r="B21" s="17"/>
      <c r="C21" s="18"/>
      <c r="D21" s="18"/>
    </row>
    <row r="22" spans="1:4" ht="25.35" customHeight="1" x14ac:dyDescent="0.2">
      <c r="A22" s="18"/>
      <c r="B22" s="17"/>
      <c r="C22" s="18"/>
      <c r="D22" s="18"/>
    </row>
    <row r="23" spans="1:4" ht="25.35" customHeight="1" x14ac:dyDescent="0.2">
      <c r="A23" s="18"/>
      <c r="B23" s="17"/>
      <c r="C23" s="18"/>
      <c r="D23" s="18"/>
    </row>
    <row r="24" spans="1:4" ht="25.35" customHeight="1" x14ac:dyDescent="0.2">
      <c r="A24" s="18"/>
      <c r="B24" s="17"/>
      <c r="C24" s="18"/>
      <c r="D24" s="18"/>
    </row>
    <row r="25" spans="1:4" ht="25.35" customHeight="1" x14ac:dyDescent="0.2">
      <c r="A25" s="18"/>
      <c r="B25" s="17"/>
      <c r="C25" s="18"/>
      <c r="D25" s="18"/>
    </row>
    <row r="26" spans="1:4" ht="25.35" customHeight="1" x14ac:dyDescent="0.2">
      <c r="A26" s="18"/>
      <c r="B26" s="17"/>
      <c r="C26" s="18"/>
      <c r="D26" s="18"/>
    </row>
    <row r="27" spans="1:4" ht="25.35" customHeight="1" x14ac:dyDescent="0.2">
      <c r="A27" s="18"/>
      <c r="B27" s="17"/>
      <c r="C27" s="18"/>
      <c r="D27" s="18"/>
    </row>
    <row r="28" spans="1:4" ht="25.35" customHeight="1" x14ac:dyDescent="0.35">
      <c r="A28" s="19"/>
      <c r="B28" s="17"/>
      <c r="C28" s="18"/>
      <c r="D28" s="18"/>
    </row>
    <row r="29" spans="1:4" ht="25.35" customHeight="1" x14ac:dyDescent="0.2">
      <c r="A29" s="18"/>
      <c r="B29" s="17"/>
      <c r="C29" s="18"/>
      <c r="D29" s="18"/>
    </row>
  </sheetData>
  <mergeCells count="1">
    <mergeCell ref="A1:D2"/>
  </mergeCells>
  <phoneticPr fontId="3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3"/>
  <sheetViews>
    <sheetView zoomScale="70" zoomScaleNormal="70" workbookViewId="0">
      <pane ySplit="3" topLeftCell="A98" activePane="bottomLeft" state="frozen"/>
      <selection pane="bottomLeft" activeCell="K120" sqref="K120"/>
    </sheetView>
  </sheetViews>
  <sheetFormatPr defaultColWidth="9.140625" defaultRowHeight="13.5" x14ac:dyDescent="0.2"/>
  <cols>
    <col min="1" max="1" width="14.28515625" style="1" customWidth="1"/>
    <col min="2" max="2" width="112.28515625" style="28" customWidth="1"/>
    <col min="3" max="4" width="21.7109375" style="33" customWidth="1"/>
    <col min="5" max="16384" width="9.140625" style="2"/>
  </cols>
  <sheetData>
    <row r="1" spans="1:4" ht="37.5" customHeight="1" x14ac:dyDescent="0.2">
      <c r="A1" s="40" t="s">
        <v>38</v>
      </c>
      <c r="B1" s="40"/>
      <c r="C1" s="40"/>
      <c r="D1" s="40"/>
    </row>
    <row r="2" spans="1:4" ht="18.75" x14ac:dyDescent="0.2">
      <c r="A2" s="42" t="s">
        <v>6</v>
      </c>
      <c r="B2" s="42" t="s">
        <v>7</v>
      </c>
      <c r="C2" s="41" t="s">
        <v>8</v>
      </c>
      <c r="D2" s="41"/>
    </row>
    <row r="3" spans="1:4" ht="15.75" x14ac:dyDescent="0.2">
      <c r="A3" s="43"/>
      <c r="B3" s="43"/>
      <c r="C3" s="29" t="s">
        <v>29</v>
      </c>
      <c r="D3" s="29" t="s">
        <v>30</v>
      </c>
    </row>
    <row r="4" spans="1:4" ht="15" x14ac:dyDescent="0.2">
      <c r="A4" s="3" t="s">
        <v>9</v>
      </c>
      <c r="B4" s="27"/>
      <c r="C4" s="30"/>
      <c r="D4" s="30"/>
    </row>
    <row r="5" spans="1:4" ht="15" x14ac:dyDescent="0.2">
      <c r="A5" s="34" t="s">
        <v>240</v>
      </c>
      <c r="B5" s="35" t="s">
        <v>39</v>
      </c>
      <c r="C5" s="31">
        <v>3901.3159999999998</v>
      </c>
      <c r="D5" s="31">
        <f t="shared" ref="D5:D46" si="0">C5/25.4</f>
        <v>153.59511811023623</v>
      </c>
    </row>
    <row r="6" spans="1:4" ht="15" x14ac:dyDescent="0.2">
      <c r="A6" s="34" t="s">
        <v>15</v>
      </c>
      <c r="B6" s="35" t="s">
        <v>40</v>
      </c>
      <c r="C6" s="31">
        <v>4197.0290000000005</v>
      </c>
      <c r="D6" s="31">
        <f t="shared" si="0"/>
        <v>165.23736220472443</v>
      </c>
    </row>
    <row r="7" spans="1:4" ht="15" x14ac:dyDescent="0.2">
      <c r="A7" s="34" t="s">
        <v>27</v>
      </c>
      <c r="B7" s="35" t="s">
        <v>41</v>
      </c>
      <c r="C7" s="31">
        <v>3917.1080000000002</v>
      </c>
      <c r="D7" s="31">
        <f t="shared" si="0"/>
        <v>154.21685039370081</v>
      </c>
    </row>
    <row r="8" spans="1:4" ht="15" x14ac:dyDescent="0.2">
      <c r="A8" s="34" t="s">
        <v>241</v>
      </c>
      <c r="B8" s="35" t="s">
        <v>42</v>
      </c>
      <c r="C8" s="31">
        <v>4186.7020000000002</v>
      </c>
      <c r="D8" s="31">
        <f t="shared" si="0"/>
        <v>164.83078740157481</v>
      </c>
    </row>
    <row r="9" spans="1:4" ht="15" x14ac:dyDescent="0.2">
      <c r="A9" s="34" t="s">
        <v>242</v>
      </c>
      <c r="B9" s="35" t="s">
        <v>43</v>
      </c>
      <c r="C9" s="31">
        <v>4669.7889999999998</v>
      </c>
      <c r="D9" s="31">
        <f t="shared" si="0"/>
        <v>183.84996062992127</v>
      </c>
    </row>
    <row r="10" spans="1:4" ht="15" x14ac:dyDescent="0.2">
      <c r="A10" s="34" t="s">
        <v>14</v>
      </c>
      <c r="B10" s="35" t="s">
        <v>45</v>
      </c>
      <c r="C10" s="31">
        <v>4557.4319999999998</v>
      </c>
      <c r="D10" s="31">
        <f t="shared" si="0"/>
        <v>179.42645669291338</v>
      </c>
    </row>
    <row r="11" spans="1:4" ht="15" x14ac:dyDescent="0.2">
      <c r="A11" s="34" t="s">
        <v>243</v>
      </c>
      <c r="B11" s="35" t="s">
        <v>46</v>
      </c>
      <c r="C11" s="31">
        <v>3798.5720000000001</v>
      </c>
      <c r="D11" s="31">
        <f t="shared" si="0"/>
        <v>149.55007874015749</v>
      </c>
    </row>
    <row r="12" spans="1:4" ht="15" x14ac:dyDescent="0.2">
      <c r="A12" s="34" t="s">
        <v>13</v>
      </c>
      <c r="B12" s="35" t="s">
        <v>47</v>
      </c>
      <c r="C12" s="31">
        <v>4025.268</v>
      </c>
      <c r="D12" s="31">
        <f t="shared" si="0"/>
        <v>158.47511811023622</v>
      </c>
    </row>
    <row r="13" spans="1:4" ht="15" x14ac:dyDescent="0.2">
      <c r="A13" s="34" t="s">
        <v>44</v>
      </c>
      <c r="B13" s="35" t="s">
        <v>49</v>
      </c>
      <c r="C13" s="31">
        <v>4416.759</v>
      </c>
      <c r="D13" s="31">
        <f t="shared" si="0"/>
        <v>173.88814960629924</v>
      </c>
    </row>
    <row r="14" spans="1:4" ht="15" x14ac:dyDescent="0.2">
      <c r="A14" s="34" t="s">
        <v>244</v>
      </c>
      <c r="B14" s="35" t="s">
        <v>50</v>
      </c>
      <c r="C14" s="31">
        <v>4265.7150000000001</v>
      </c>
      <c r="D14" s="31">
        <f t="shared" si="0"/>
        <v>167.94153543307087</v>
      </c>
    </row>
    <row r="15" spans="1:4" ht="15" x14ac:dyDescent="0.2">
      <c r="A15" s="34" t="s">
        <v>48</v>
      </c>
      <c r="B15" s="35" t="s">
        <v>51</v>
      </c>
      <c r="C15" s="31">
        <v>4640.8509999999997</v>
      </c>
      <c r="D15" s="31">
        <f t="shared" si="0"/>
        <v>182.71066929133858</v>
      </c>
    </row>
    <row r="16" spans="1:4" ht="15" x14ac:dyDescent="0.2">
      <c r="A16" s="34" t="s">
        <v>245</v>
      </c>
      <c r="B16" s="35" t="s">
        <v>52</v>
      </c>
      <c r="C16" s="31">
        <v>3610.442</v>
      </c>
      <c r="D16" s="31">
        <f t="shared" si="0"/>
        <v>142.14338582677166</v>
      </c>
    </row>
    <row r="17" spans="1:4" ht="15" x14ac:dyDescent="0.2">
      <c r="A17" s="34" t="s">
        <v>246</v>
      </c>
      <c r="B17" s="35" t="s">
        <v>53</v>
      </c>
      <c r="C17" s="31">
        <v>3273.8829999999998</v>
      </c>
      <c r="D17" s="31">
        <f t="shared" si="0"/>
        <v>128.893031496063</v>
      </c>
    </row>
    <row r="18" spans="1:4" ht="15" x14ac:dyDescent="0.2">
      <c r="A18" s="34" t="s">
        <v>247</v>
      </c>
      <c r="B18" s="35" t="s">
        <v>54</v>
      </c>
      <c r="C18" s="31">
        <v>5161.8969999999999</v>
      </c>
      <c r="D18" s="31">
        <f t="shared" si="0"/>
        <v>203.22429133858267</v>
      </c>
    </row>
    <row r="19" spans="1:4" ht="15" x14ac:dyDescent="0.2">
      <c r="A19" s="34" t="s">
        <v>28</v>
      </c>
      <c r="B19" s="35" t="s">
        <v>55</v>
      </c>
      <c r="C19" s="31">
        <v>4842.4920000000002</v>
      </c>
      <c r="D19" s="31">
        <f t="shared" si="0"/>
        <v>190.64929133858269</v>
      </c>
    </row>
    <row r="20" spans="1:4" ht="15" x14ac:dyDescent="0.2">
      <c r="A20" s="34" t="s">
        <v>129</v>
      </c>
      <c r="B20" s="35" t="s">
        <v>56</v>
      </c>
      <c r="C20" s="31">
        <v>4524.7349999999997</v>
      </c>
      <c r="D20" s="31">
        <f t="shared" si="0"/>
        <v>178.13917322834646</v>
      </c>
    </row>
    <row r="21" spans="1:4" ht="15" x14ac:dyDescent="0.2">
      <c r="A21" s="34" t="s">
        <v>20</v>
      </c>
      <c r="B21" s="35" t="s">
        <v>57</v>
      </c>
      <c r="C21" s="31">
        <v>4062.694</v>
      </c>
      <c r="D21" s="31">
        <f t="shared" si="0"/>
        <v>159.94858267716535</v>
      </c>
    </row>
    <row r="22" spans="1:4" ht="15" x14ac:dyDescent="0.2">
      <c r="A22" s="34" t="s">
        <v>66</v>
      </c>
      <c r="B22" s="35" t="s">
        <v>58</v>
      </c>
      <c r="C22" s="31">
        <v>5590.9459999999999</v>
      </c>
      <c r="D22" s="31">
        <f t="shared" si="0"/>
        <v>220.11598425196851</v>
      </c>
    </row>
    <row r="23" spans="1:4" ht="15" x14ac:dyDescent="0.2">
      <c r="A23" s="34" t="s">
        <v>248</v>
      </c>
      <c r="B23" s="35" t="s">
        <v>59</v>
      </c>
      <c r="C23" s="31">
        <v>2635.683</v>
      </c>
      <c r="D23" s="31">
        <f t="shared" si="0"/>
        <v>103.7670472440945</v>
      </c>
    </row>
    <row r="24" spans="1:4" ht="15" x14ac:dyDescent="0.2">
      <c r="A24" s="34" t="s">
        <v>249</v>
      </c>
      <c r="B24" s="35" t="s">
        <v>60</v>
      </c>
      <c r="C24" s="31">
        <v>4722.1959999999999</v>
      </c>
      <c r="D24" s="31">
        <f t="shared" si="0"/>
        <v>185.91322834645669</v>
      </c>
    </row>
    <row r="25" spans="1:4" ht="15" x14ac:dyDescent="0.2">
      <c r="A25" s="34" t="s">
        <v>250</v>
      </c>
      <c r="B25" s="35" t="s">
        <v>61</v>
      </c>
      <c r="C25" s="31">
        <v>3084.9769999999999</v>
      </c>
      <c r="D25" s="31">
        <f t="shared" si="0"/>
        <v>121.45578740157481</v>
      </c>
    </row>
    <row r="26" spans="1:4" ht="15" x14ac:dyDescent="0.2">
      <c r="A26" s="34" t="s">
        <v>251</v>
      </c>
      <c r="B26" s="35" t="s">
        <v>62</v>
      </c>
      <c r="C26" s="31">
        <v>2422.8850000000002</v>
      </c>
      <c r="D26" s="31">
        <f t="shared" si="0"/>
        <v>95.389173228346465</v>
      </c>
    </row>
    <row r="27" spans="1:4" ht="15" x14ac:dyDescent="0.2">
      <c r="A27" s="34" t="s">
        <v>252</v>
      </c>
      <c r="B27" s="35" t="s">
        <v>63</v>
      </c>
      <c r="C27" s="31">
        <v>3482.569</v>
      </c>
      <c r="D27" s="31">
        <f t="shared" si="0"/>
        <v>137.10901574803151</v>
      </c>
    </row>
    <row r="28" spans="1:4" ht="15" x14ac:dyDescent="0.2">
      <c r="A28" s="34" t="s">
        <v>253</v>
      </c>
      <c r="B28" s="35" t="s">
        <v>64</v>
      </c>
      <c r="C28" s="31">
        <v>4042.1770000000001</v>
      </c>
      <c r="D28" s="31">
        <f t="shared" si="0"/>
        <v>159.14082677165356</v>
      </c>
    </row>
    <row r="29" spans="1:4" ht="15" x14ac:dyDescent="0.2">
      <c r="A29" s="34" t="s">
        <v>254</v>
      </c>
      <c r="B29" s="35" t="s">
        <v>65</v>
      </c>
      <c r="C29" s="31">
        <v>4239.3869999999997</v>
      </c>
      <c r="D29" s="31">
        <f t="shared" si="0"/>
        <v>166.905</v>
      </c>
    </row>
    <row r="30" spans="1:4" ht="15" x14ac:dyDescent="0.2">
      <c r="A30" s="34" t="s">
        <v>19</v>
      </c>
      <c r="B30" s="35" t="s">
        <v>67</v>
      </c>
      <c r="C30" s="31">
        <v>4409.29</v>
      </c>
      <c r="D30" s="31">
        <f t="shared" si="0"/>
        <v>173.59409448818897</v>
      </c>
    </row>
    <row r="31" spans="1:4" ht="15" x14ac:dyDescent="0.2">
      <c r="A31" s="34" t="s">
        <v>255</v>
      </c>
      <c r="B31" s="35" t="s">
        <v>68</v>
      </c>
      <c r="C31" s="31">
        <v>3013.0039999999999</v>
      </c>
      <c r="D31" s="31">
        <f t="shared" si="0"/>
        <v>118.62220472440946</v>
      </c>
    </row>
    <row r="32" spans="1:4" ht="15" x14ac:dyDescent="0.2">
      <c r="A32" s="34" t="s">
        <v>256</v>
      </c>
      <c r="B32" s="35" t="s">
        <v>69</v>
      </c>
      <c r="C32" s="31">
        <v>5640.8670000000002</v>
      </c>
      <c r="D32" s="31">
        <f t="shared" si="0"/>
        <v>222.08137795275593</v>
      </c>
    </row>
    <row r="33" spans="1:4" ht="15" x14ac:dyDescent="0.2">
      <c r="A33" s="34" t="s">
        <v>95</v>
      </c>
      <c r="B33" s="35" t="s">
        <v>71</v>
      </c>
      <c r="C33" s="31">
        <v>4476.67</v>
      </c>
      <c r="D33" s="31">
        <f t="shared" si="0"/>
        <v>176.24685039370081</v>
      </c>
    </row>
    <row r="34" spans="1:4" ht="15" x14ac:dyDescent="0.2">
      <c r="A34" s="34" t="s">
        <v>119</v>
      </c>
      <c r="B34" s="35" t="s">
        <v>73</v>
      </c>
      <c r="C34" s="31">
        <v>5111.1629999999996</v>
      </c>
      <c r="D34" s="31">
        <f t="shared" si="0"/>
        <v>201.22688976377952</v>
      </c>
    </row>
    <row r="35" spans="1:4" ht="15" x14ac:dyDescent="0.2">
      <c r="A35" s="34" t="s">
        <v>257</v>
      </c>
      <c r="B35" s="35" t="s">
        <v>75</v>
      </c>
      <c r="C35" s="31">
        <v>5046.1760000000004</v>
      </c>
      <c r="D35" s="31">
        <f t="shared" si="0"/>
        <v>198.66834645669294</v>
      </c>
    </row>
    <row r="36" spans="1:4" ht="15" x14ac:dyDescent="0.2">
      <c r="A36" s="34" t="s">
        <v>258</v>
      </c>
      <c r="B36" s="35" t="s">
        <v>76</v>
      </c>
      <c r="C36" s="31">
        <v>2798.1819999999998</v>
      </c>
      <c r="D36" s="31">
        <f t="shared" si="0"/>
        <v>110.16464566929133</v>
      </c>
    </row>
    <row r="37" spans="1:4" ht="15" x14ac:dyDescent="0.2">
      <c r="A37" s="34" t="s">
        <v>26</v>
      </c>
      <c r="B37" s="35" t="s">
        <v>78</v>
      </c>
      <c r="C37" s="31">
        <v>5913.38</v>
      </c>
      <c r="D37" s="31">
        <f t="shared" si="0"/>
        <v>232.81023622047246</v>
      </c>
    </row>
    <row r="38" spans="1:4" ht="15" x14ac:dyDescent="0.2">
      <c r="A38" s="34" t="s">
        <v>259</v>
      </c>
      <c r="B38" s="35" t="s">
        <v>79</v>
      </c>
      <c r="C38" s="31">
        <v>2902.1190000000001</v>
      </c>
      <c r="D38" s="31">
        <f t="shared" si="0"/>
        <v>114.2566535433071</v>
      </c>
    </row>
    <row r="39" spans="1:4" ht="15" x14ac:dyDescent="0.2">
      <c r="A39" s="34" t="s">
        <v>72</v>
      </c>
      <c r="B39" s="35" t="s">
        <v>80</v>
      </c>
      <c r="C39" s="31">
        <v>5679.9489999999996</v>
      </c>
      <c r="D39" s="31">
        <f t="shared" si="0"/>
        <v>223.62003937007873</v>
      </c>
    </row>
    <row r="40" spans="1:4" ht="15" x14ac:dyDescent="0.2">
      <c r="A40" s="34" t="s">
        <v>260</v>
      </c>
      <c r="B40" s="35" t="s">
        <v>81</v>
      </c>
      <c r="C40" s="31">
        <v>4666.5020000000004</v>
      </c>
      <c r="D40" s="31">
        <f t="shared" si="0"/>
        <v>183.72055118110239</v>
      </c>
    </row>
    <row r="41" spans="1:4" ht="15" x14ac:dyDescent="0.2">
      <c r="A41" s="34" t="s">
        <v>114</v>
      </c>
      <c r="B41" s="35" t="s">
        <v>83</v>
      </c>
      <c r="C41" s="31">
        <v>8099.8029999999999</v>
      </c>
      <c r="D41" s="31">
        <f t="shared" si="0"/>
        <v>318.88988188976379</v>
      </c>
    </row>
    <row r="42" spans="1:4" ht="15" x14ac:dyDescent="0.2">
      <c r="A42" s="34" t="s">
        <v>261</v>
      </c>
      <c r="B42" s="35" t="s">
        <v>84</v>
      </c>
      <c r="C42" s="31">
        <v>4016.4749999999999</v>
      </c>
      <c r="D42" s="31">
        <f t="shared" si="0"/>
        <v>158.12893700787401</v>
      </c>
    </row>
    <row r="43" spans="1:4" ht="15" x14ac:dyDescent="0.2">
      <c r="A43" s="34" t="s">
        <v>110</v>
      </c>
      <c r="B43" s="35" t="s">
        <v>86</v>
      </c>
      <c r="C43" s="31">
        <v>7663.9110000000001</v>
      </c>
      <c r="D43" s="31">
        <f t="shared" si="0"/>
        <v>301.72877952755908</v>
      </c>
    </row>
    <row r="44" spans="1:4" ht="15" x14ac:dyDescent="0.2">
      <c r="A44" s="34" t="s">
        <v>262</v>
      </c>
      <c r="B44" s="35" t="s">
        <v>87</v>
      </c>
      <c r="C44" s="31">
        <v>4042.0880000000002</v>
      </c>
      <c r="D44" s="31">
        <f t="shared" si="0"/>
        <v>159.13732283464569</v>
      </c>
    </row>
    <row r="45" spans="1:4" ht="15" x14ac:dyDescent="0.2">
      <c r="A45" s="34" t="s">
        <v>263</v>
      </c>
      <c r="B45" s="35" t="s">
        <v>88</v>
      </c>
      <c r="C45" s="31">
        <v>4816.4750000000004</v>
      </c>
      <c r="D45" s="31">
        <f t="shared" si="0"/>
        <v>189.62500000000003</v>
      </c>
    </row>
    <row r="46" spans="1:4" ht="15" x14ac:dyDescent="0.2">
      <c r="A46" s="34" t="s">
        <v>264</v>
      </c>
      <c r="B46" s="35" t="s">
        <v>89</v>
      </c>
      <c r="C46" s="31">
        <v>6994.0529999999999</v>
      </c>
      <c r="D46" s="31">
        <f t="shared" si="0"/>
        <v>275.35641732283466</v>
      </c>
    </row>
    <row r="47" spans="1:4" ht="15" x14ac:dyDescent="0.2">
      <c r="A47" s="34" t="s">
        <v>265</v>
      </c>
      <c r="B47" s="35" t="s">
        <v>90</v>
      </c>
      <c r="C47" s="31">
        <v>7587.4740000000002</v>
      </c>
      <c r="D47" s="31">
        <f t="shared" ref="D47:D81" si="1">C47/25.4</f>
        <v>298.71944881889766</v>
      </c>
    </row>
    <row r="48" spans="1:4" ht="15" x14ac:dyDescent="0.2">
      <c r="A48" s="34" t="s">
        <v>266</v>
      </c>
      <c r="B48" s="35" t="s">
        <v>91</v>
      </c>
      <c r="C48" s="31">
        <v>5313.5739999999996</v>
      </c>
      <c r="D48" s="31">
        <f t="shared" si="1"/>
        <v>209.19582677165354</v>
      </c>
    </row>
    <row r="49" spans="1:4" ht="15" x14ac:dyDescent="0.2">
      <c r="A49" s="34" t="s">
        <v>99</v>
      </c>
      <c r="B49" s="35" t="s">
        <v>92</v>
      </c>
      <c r="C49" s="31">
        <v>5237.4570000000003</v>
      </c>
      <c r="D49" s="31">
        <f t="shared" si="1"/>
        <v>206.19909448818899</v>
      </c>
    </row>
    <row r="50" spans="1:4" ht="15" x14ac:dyDescent="0.2">
      <c r="A50" s="34" t="s">
        <v>267</v>
      </c>
      <c r="B50" s="35" t="s">
        <v>93</v>
      </c>
      <c r="C50" s="31">
        <v>5576.6840000000002</v>
      </c>
      <c r="D50" s="31">
        <f t="shared" si="1"/>
        <v>219.55448818897639</v>
      </c>
    </row>
    <row r="51" spans="1:4" ht="15" x14ac:dyDescent="0.2">
      <c r="A51" s="34" t="s">
        <v>268</v>
      </c>
      <c r="B51" s="35" t="s">
        <v>94</v>
      </c>
      <c r="C51" s="31">
        <v>5762.2349999999997</v>
      </c>
      <c r="D51" s="31">
        <f t="shared" si="1"/>
        <v>226.85964566929133</v>
      </c>
    </row>
    <row r="52" spans="1:4" ht="15" x14ac:dyDescent="0.2">
      <c r="A52" s="34" t="s">
        <v>74</v>
      </c>
      <c r="B52" s="35" t="s">
        <v>96</v>
      </c>
      <c r="C52" s="31">
        <v>5407.7049999999999</v>
      </c>
      <c r="D52" s="31">
        <f t="shared" si="1"/>
        <v>212.90177165354331</v>
      </c>
    </row>
    <row r="53" spans="1:4" ht="15" x14ac:dyDescent="0.2">
      <c r="A53" s="34" t="s">
        <v>16</v>
      </c>
      <c r="B53" s="35" t="s">
        <v>98</v>
      </c>
      <c r="C53" s="31">
        <v>6448.7290000000003</v>
      </c>
      <c r="D53" s="31">
        <f t="shared" si="1"/>
        <v>253.88696850393703</v>
      </c>
    </row>
    <row r="54" spans="1:4" ht="15" x14ac:dyDescent="0.2">
      <c r="A54" s="34" t="s">
        <v>269</v>
      </c>
      <c r="B54" s="35" t="s">
        <v>100</v>
      </c>
      <c r="C54" s="31">
        <v>5752.93</v>
      </c>
      <c r="D54" s="31">
        <f t="shared" si="1"/>
        <v>226.49330708661421</v>
      </c>
    </row>
    <row r="55" spans="1:4" ht="15" x14ac:dyDescent="0.2">
      <c r="A55" s="34" t="s">
        <v>270</v>
      </c>
      <c r="B55" s="35" t="s">
        <v>101</v>
      </c>
      <c r="C55" s="31">
        <v>5458.5079999999998</v>
      </c>
      <c r="D55" s="31">
        <f t="shared" si="1"/>
        <v>214.90188976377954</v>
      </c>
    </row>
    <row r="56" spans="1:4" ht="15" x14ac:dyDescent="0.2">
      <c r="A56" s="34" t="s">
        <v>107</v>
      </c>
      <c r="B56" s="35" t="s">
        <v>102</v>
      </c>
      <c r="C56" s="31">
        <v>4157.7389999999996</v>
      </c>
      <c r="D56" s="31">
        <f t="shared" si="1"/>
        <v>163.69051181102361</v>
      </c>
    </row>
    <row r="57" spans="1:4" ht="15" x14ac:dyDescent="0.2">
      <c r="A57" s="34" t="s">
        <v>271</v>
      </c>
      <c r="B57" s="35" t="s">
        <v>103</v>
      </c>
      <c r="C57" s="31">
        <v>2692.84</v>
      </c>
      <c r="D57" s="31">
        <f t="shared" si="1"/>
        <v>106.01732283464568</v>
      </c>
    </row>
    <row r="58" spans="1:4" ht="15" x14ac:dyDescent="0.2">
      <c r="A58" s="34" t="s">
        <v>272</v>
      </c>
      <c r="B58" s="35" t="s">
        <v>105</v>
      </c>
      <c r="C58" s="31">
        <v>4790.0529999999999</v>
      </c>
      <c r="D58" s="31">
        <f t="shared" si="1"/>
        <v>188.58476377952758</v>
      </c>
    </row>
    <row r="59" spans="1:4" ht="15" x14ac:dyDescent="0.2">
      <c r="A59" s="34" t="s">
        <v>273</v>
      </c>
      <c r="B59" s="35" t="s">
        <v>106</v>
      </c>
      <c r="C59" s="31">
        <v>2881.0619999999999</v>
      </c>
      <c r="D59" s="31">
        <f t="shared" si="1"/>
        <v>113.42763779527559</v>
      </c>
    </row>
    <row r="60" spans="1:4" ht="15" x14ac:dyDescent="0.2">
      <c r="A60" s="34" t="s">
        <v>11</v>
      </c>
      <c r="B60" s="35" t="s">
        <v>108</v>
      </c>
      <c r="C60" s="31">
        <v>4727.348</v>
      </c>
      <c r="D60" s="31">
        <f t="shared" si="1"/>
        <v>186.11606299212599</v>
      </c>
    </row>
    <row r="61" spans="1:4" ht="15" x14ac:dyDescent="0.2">
      <c r="A61" s="34" t="s">
        <v>274</v>
      </c>
      <c r="B61" s="35" t="s">
        <v>109</v>
      </c>
      <c r="C61" s="31">
        <v>3850.3829999999998</v>
      </c>
      <c r="D61" s="31">
        <f t="shared" si="1"/>
        <v>151.58988188976377</v>
      </c>
    </row>
    <row r="62" spans="1:4" ht="15" x14ac:dyDescent="0.2">
      <c r="A62" s="34" t="s">
        <v>275</v>
      </c>
      <c r="B62" s="35" t="s">
        <v>111</v>
      </c>
      <c r="C62" s="31">
        <v>6151.4260000000004</v>
      </c>
      <c r="D62" s="31">
        <f t="shared" si="1"/>
        <v>242.182125984252</v>
      </c>
    </row>
    <row r="63" spans="1:4" ht="15" x14ac:dyDescent="0.2">
      <c r="A63" s="34" t="s">
        <v>276</v>
      </c>
      <c r="B63" s="35" t="s">
        <v>113</v>
      </c>
      <c r="C63" s="31">
        <v>3518.75</v>
      </c>
      <c r="D63" s="31">
        <f t="shared" si="1"/>
        <v>138.53346456692915</v>
      </c>
    </row>
    <row r="64" spans="1:4" ht="15" x14ac:dyDescent="0.2">
      <c r="A64" s="34" t="s">
        <v>97</v>
      </c>
      <c r="B64" s="35" t="s">
        <v>115</v>
      </c>
      <c r="C64" s="31">
        <v>6563.3829999999998</v>
      </c>
      <c r="D64" s="31">
        <f t="shared" si="1"/>
        <v>258.400905511811</v>
      </c>
    </row>
    <row r="65" spans="1:4" ht="15" x14ac:dyDescent="0.2">
      <c r="A65" s="34" t="s">
        <v>12</v>
      </c>
      <c r="B65" s="35" t="s">
        <v>117</v>
      </c>
      <c r="C65" s="31">
        <v>5956.5389999999998</v>
      </c>
      <c r="D65" s="31">
        <f t="shared" si="1"/>
        <v>234.5094094488189</v>
      </c>
    </row>
    <row r="66" spans="1:4" ht="15" x14ac:dyDescent="0.2">
      <c r="A66" s="34" t="s">
        <v>277</v>
      </c>
      <c r="B66" s="35" t="s">
        <v>118</v>
      </c>
      <c r="C66" s="31">
        <v>6894.1260000000002</v>
      </c>
      <c r="D66" s="31">
        <f t="shared" si="1"/>
        <v>271.42228346456693</v>
      </c>
    </row>
    <row r="67" spans="1:4" ht="15" x14ac:dyDescent="0.2">
      <c r="A67" s="34" t="s">
        <v>17</v>
      </c>
      <c r="B67" s="35" t="s">
        <v>120</v>
      </c>
      <c r="C67" s="31">
        <v>6114.2719999999999</v>
      </c>
      <c r="D67" s="31">
        <f t="shared" si="1"/>
        <v>240.71937007874016</v>
      </c>
    </row>
    <row r="68" spans="1:4" ht="15" x14ac:dyDescent="0.2">
      <c r="A68" s="34" t="s">
        <v>278</v>
      </c>
      <c r="B68" s="35" t="s">
        <v>121</v>
      </c>
      <c r="C68" s="31">
        <v>3621.808</v>
      </c>
      <c r="D68" s="31">
        <f t="shared" si="1"/>
        <v>142.59086614173228</v>
      </c>
    </row>
    <row r="69" spans="1:4" ht="15" x14ac:dyDescent="0.2">
      <c r="A69" s="34" t="s">
        <v>25</v>
      </c>
      <c r="B69" s="35" t="s">
        <v>122</v>
      </c>
      <c r="C69" s="31">
        <v>5247.5609999999997</v>
      </c>
      <c r="D69" s="31">
        <f t="shared" si="1"/>
        <v>206.59688976377953</v>
      </c>
    </row>
    <row r="70" spans="1:4" ht="15" x14ac:dyDescent="0.2">
      <c r="A70" s="34" t="s">
        <v>279</v>
      </c>
      <c r="B70" s="35" t="s">
        <v>123</v>
      </c>
      <c r="C70" s="31">
        <v>3590.0949999999998</v>
      </c>
      <c r="D70" s="31">
        <f t="shared" si="1"/>
        <v>141.34232283464567</v>
      </c>
    </row>
    <row r="71" spans="1:4" ht="15" x14ac:dyDescent="0.2">
      <c r="A71" s="34" t="s">
        <v>104</v>
      </c>
      <c r="B71" s="35" t="s">
        <v>124</v>
      </c>
      <c r="C71" s="31">
        <v>4947.6719999999996</v>
      </c>
      <c r="D71" s="31">
        <f t="shared" si="1"/>
        <v>194.79023622047242</v>
      </c>
    </row>
    <row r="72" spans="1:4" ht="15" x14ac:dyDescent="0.2">
      <c r="A72" s="34" t="s">
        <v>112</v>
      </c>
      <c r="B72" s="35" t="s">
        <v>125</v>
      </c>
      <c r="C72" s="44">
        <v>5429.3720000000003</v>
      </c>
      <c r="D72" s="31">
        <f t="shared" si="1"/>
        <v>213.75480314960632</v>
      </c>
    </row>
    <row r="73" spans="1:4" ht="15" x14ac:dyDescent="0.2">
      <c r="A73" s="34" t="s">
        <v>280</v>
      </c>
      <c r="B73" s="35" t="s">
        <v>126</v>
      </c>
      <c r="C73" s="31">
        <v>4252.6310000000003</v>
      </c>
      <c r="D73" s="31">
        <f t="shared" si="1"/>
        <v>167.42641732283468</v>
      </c>
    </row>
    <row r="74" spans="1:4" ht="15" x14ac:dyDescent="0.2">
      <c r="A74" s="34" t="s">
        <v>116</v>
      </c>
      <c r="B74" s="35" t="s">
        <v>127</v>
      </c>
      <c r="C74" s="31">
        <v>5135.4340000000002</v>
      </c>
      <c r="D74" s="31">
        <f t="shared" si="1"/>
        <v>202.1824409448819</v>
      </c>
    </row>
    <row r="75" spans="1:4" ht="15" x14ac:dyDescent="0.2">
      <c r="A75" s="34" t="s">
        <v>281</v>
      </c>
      <c r="B75" s="35" t="s">
        <v>128</v>
      </c>
      <c r="C75" s="31">
        <v>4150.7190000000001</v>
      </c>
      <c r="D75" s="31">
        <f t="shared" si="1"/>
        <v>163.41413385826772</v>
      </c>
    </row>
    <row r="76" spans="1:4" ht="15" x14ac:dyDescent="0.2">
      <c r="A76" s="34" t="s">
        <v>18</v>
      </c>
      <c r="B76" s="35" t="s">
        <v>130</v>
      </c>
      <c r="C76" s="31">
        <v>4926.0730000000003</v>
      </c>
      <c r="D76" s="31">
        <f t="shared" si="1"/>
        <v>193.9398818897638</v>
      </c>
    </row>
    <row r="77" spans="1:4" ht="15" x14ac:dyDescent="0.2">
      <c r="A77" s="34" t="s">
        <v>282</v>
      </c>
      <c r="B77" s="35" t="s">
        <v>131</v>
      </c>
      <c r="C77" s="31">
        <v>2937.11</v>
      </c>
      <c r="D77" s="31">
        <f t="shared" si="1"/>
        <v>115.63425196850395</v>
      </c>
    </row>
    <row r="78" spans="1:4" ht="15" x14ac:dyDescent="0.2">
      <c r="A78" s="30"/>
      <c r="B78" s="30"/>
      <c r="C78" s="30"/>
      <c r="D78" s="30"/>
    </row>
    <row r="79" spans="1:4" ht="15" x14ac:dyDescent="0.2">
      <c r="A79" s="34" t="s">
        <v>24</v>
      </c>
      <c r="B79" s="35" t="s">
        <v>132</v>
      </c>
      <c r="C79" s="44">
        <v>6119.7579999999998</v>
      </c>
      <c r="D79" s="44">
        <f t="shared" ref="D79:D84" si="2">C79/25.4</f>
        <v>240.93535433070866</v>
      </c>
    </row>
    <row r="80" spans="1:4" ht="15" x14ac:dyDescent="0.2">
      <c r="A80" s="34" t="s">
        <v>283</v>
      </c>
      <c r="B80" s="35" t="s">
        <v>133</v>
      </c>
      <c r="C80" s="44">
        <v>3857.1190000000001</v>
      </c>
      <c r="D80" s="44">
        <f t="shared" si="2"/>
        <v>151.8550787401575</v>
      </c>
    </row>
    <row r="81" spans="1:4" ht="15" x14ac:dyDescent="0.2">
      <c r="A81" s="34" t="s">
        <v>70</v>
      </c>
      <c r="B81" s="35" t="s">
        <v>134</v>
      </c>
      <c r="C81" s="44">
        <v>5829.5320000000002</v>
      </c>
      <c r="D81" s="44">
        <f t="shared" si="2"/>
        <v>229.50913385826775</v>
      </c>
    </row>
    <row r="82" spans="1:4" ht="15" x14ac:dyDescent="0.2">
      <c r="A82" s="34" t="s">
        <v>10</v>
      </c>
      <c r="B82" s="35" t="s">
        <v>135</v>
      </c>
      <c r="C82" s="44">
        <v>6656.3530000000001</v>
      </c>
      <c r="D82" s="44">
        <f t="shared" ref="D82:D88" si="3">C82/25.4</f>
        <v>262.06114173228349</v>
      </c>
    </row>
    <row r="83" spans="1:4" ht="15" x14ac:dyDescent="0.2">
      <c r="A83" s="34" t="s">
        <v>284</v>
      </c>
      <c r="B83" s="35" t="s">
        <v>136</v>
      </c>
      <c r="C83" s="45">
        <v>4861.5510000000004</v>
      </c>
      <c r="D83" s="44">
        <f t="shared" si="2"/>
        <v>191.39964566929137</v>
      </c>
    </row>
    <row r="84" spans="1:4" ht="15" x14ac:dyDescent="0.2">
      <c r="A84" s="34" t="s">
        <v>285</v>
      </c>
      <c r="B84" s="35" t="s">
        <v>137</v>
      </c>
      <c r="C84" s="44">
        <v>4991.0420000000004</v>
      </c>
      <c r="D84" s="44">
        <f t="shared" si="2"/>
        <v>196.49771653543309</v>
      </c>
    </row>
    <row r="85" spans="1:4" ht="15" x14ac:dyDescent="0.2">
      <c r="A85" s="34" t="s">
        <v>85</v>
      </c>
      <c r="B85" s="35" t="s">
        <v>138</v>
      </c>
      <c r="C85" s="32">
        <v>5475.1859999999997</v>
      </c>
      <c r="D85" s="31">
        <f t="shared" si="3"/>
        <v>215.55850393700788</v>
      </c>
    </row>
    <row r="86" spans="1:4" ht="15" x14ac:dyDescent="0.2">
      <c r="A86" s="34" t="s">
        <v>82</v>
      </c>
      <c r="B86" s="35" t="s">
        <v>139</v>
      </c>
      <c r="C86" s="32">
        <v>6278.576</v>
      </c>
      <c r="D86" s="31">
        <f t="shared" si="3"/>
        <v>247.18803149606302</v>
      </c>
    </row>
    <row r="87" spans="1:4" ht="15" x14ac:dyDescent="0.2">
      <c r="A87" s="34" t="s">
        <v>286</v>
      </c>
      <c r="B87" s="35" t="s">
        <v>140</v>
      </c>
      <c r="C87" s="32">
        <v>4444.143</v>
      </c>
      <c r="D87" s="31">
        <f t="shared" si="3"/>
        <v>174.96625984251969</v>
      </c>
    </row>
    <row r="88" spans="1:4" ht="15" x14ac:dyDescent="0.2">
      <c r="A88" s="34" t="s">
        <v>287</v>
      </c>
      <c r="B88" s="35" t="s">
        <v>141</v>
      </c>
      <c r="C88" s="32">
        <v>4652.8019999999997</v>
      </c>
      <c r="D88" s="31">
        <f t="shared" si="3"/>
        <v>183.18118110236219</v>
      </c>
    </row>
    <row r="89" spans="1:4" ht="15" x14ac:dyDescent="0.2">
      <c r="A89" s="30"/>
      <c r="B89" s="30"/>
      <c r="C89" s="30"/>
      <c r="D89" s="30"/>
    </row>
    <row r="90" spans="1:4" ht="15" x14ac:dyDescent="0.2">
      <c r="A90" s="34" t="s">
        <v>288</v>
      </c>
      <c r="B90" s="35" t="s">
        <v>142</v>
      </c>
      <c r="C90" s="32">
        <v>3023.5720000000001</v>
      </c>
      <c r="D90" s="31">
        <f t="shared" ref="D90:D99" si="4">C90/25.4</f>
        <v>119.03826771653544</v>
      </c>
    </row>
    <row r="91" spans="1:4" ht="15" x14ac:dyDescent="0.2">
      <c r="A91" s="34" t="s">
        <v>289</v>
      </c>
      <c r="B91" s="35" t="s">
        <v>143</v>
      </c>
      <c r="C91" s="31">
        <v>3311.2849999999999</v>
      </c>
      <c r="D91" s="31">
        <f t="shared" si="4"/>
        <v>130.36555118110238</v>
      </c>
    </row>
    <row r="92" spans="1:4" ht="15" x14ac:dyDescent="0.2">
      <c r="A92" s="34" t="s">
        <v>290</v>
      </c>
      <c r="B92" s="35" t="s">
        <v>144</v>
      </c>
      <c r="C92" s="32">
        <v>3546.9789999999998</v>
      </c>
      <c r="D92" s="31">
        <f t="shared" si="4"/>
        <v>139.64484251968503</v>
      </c>
    </row>
    <row r="93" spans="1:4" ht="15" x14ac:dyDescent="0.2">
      <c r="A93" s="34" t="s">
        <v>291</v>
      </c>
      <c r="B93" s="35" t="s">
        <v>145</v>
      </c>
      <c r="C93" s="32">
        <v>3729.9009999999998</v>
      </c>
      <c r="D93" s="31">
        <f t="shared" si="4"/>
        <v>146.84649606299212</v>
      </c>
    </row>
    <row r="94" spans="1:4" ht="15" x14ac:dyDescent="0.2">
      <c r="A94" s="34" t="s">
        <v>292</v>
      </c>
      <c r="B94" s="35" t="s">
        <v>146</v>
      </c>
      <c r="C94" s="32">
        <v>4533.9129999999996</v>
      </c>
      <c r="D94" s="31">
        <f t="shared" si="4"/>
        <v>178.50051181102361</v>
      </c>
    </row>
    <row r="95" spans="1:4" ht="15" x14ac:dyDescent="0.2">
      <c r="A95" s="34" t="s">
        <v>293</v>
      </c>
      <c r="B95" s="35" t="s">
        <v>147</v>
      </c>
      <c r="C95" s="32">
        <v>4831.2280000000001</v>
      </c>
      <c r="D95" s="31">
        <f t="shared" si="4"/>
        <v>190.20582677165356</v>
      </c>
    </row>
    <row r="96" spans="1:4" ht="15" x14ac:dyDescent="0.2">
      <c r="A96" s="34" t="s">
        <v>294</v>
      </c>
      <c r="B96" s="35" t="s">
        <v>148</v>
      </c>
      <c r="C96" s="32">
        <v>4990.165</v>
      </c>
      <c r="D96" s="31">
        <f t="shared" si="4"/>
        <v>196.46318897637795</v>
      </c>
    </row>
    <row r="97" spans="1:4" ht="15" x14ac:dyDescent="0.2">
      <c r="A97" s="34" t="s">
        <v>295</v>
      </c>
      <c r="B97" s="35" t="s">
        <v>149</v>
      </c>
      <c r="C97" s="32">
        <v>4846.7479999999996</v>
      </c>
      <c r="D97" s="31">
        <f t="shared" si="4"/>
        <v>190.81685039370078</v>
      </c>
    </row>
    <row r="98" spans="1:4" ht="15" x14ac:dyDescent="0.2">
      <c r="A98" s="34" t="s">
        <v>296</v>
      </c>
      <c r="B98" s="35" t="s">
        <v>150</v>
      </c>
      <c r="C98" s="32">
        <v>5862.3130000000001</v>
      </c>
      <c r="D98" s="31">
        <f t="shared" si="4"/>
        <v>230.79972440944883</v>
      </c>
    </row>
    <row r="99" spans="1:4" ht="15" x14ac:dyDescent="0.2">
      <c r="A99" s="34" t="s">
        <v>297</v>
      </c>
      <c r="B99" s="35" t="s">
        <v>151</v>
      </c>
      <c r="C99" s="44">
        <v>6056.9030000000002</v>
      </c>
      <c r="D99" s="31">
        <f t="shared" si="4"/>
        <v>238.46074803149608</v>
      </c>
    </row>
    <row r="100" spans="1:4" ht="15" x14ac:dyDescent="0.2">
      <c r="A100" s="30"/>
      <c r="B100" s="30"/>
      <c r="C100" s="30"/>
      <c r="D100" s="30"/>
    </row>
    <row r="101" spans="1:4" ht="15" x14ac:dyDescent="0.2">
      <c r="A101" s="34" t="s">
        <v>298</v>
      </c>
      <c r="B101" s="35" t="s">
        <v>152</v>
      </c>
      <c r="C101" s="32">
        <v>4351.1790000000001</v>
      </c>
      <c r="D101" s="31">
        <f t="shared" ref="D101:D123" si="5">C101/25.4</f>
        <v>171.30625984251969</v>
      </c>
    </row>
    <row r="102" spans="1:4" ht="15" x14ac:dyDescent="0.2">
      <c r="A102" s="34" t="s">
        <v>299</v>
      </c>
      <c r="B102" s="35" t="s">
        <v>153</v>
      </c>
      <c r="C102" s="32">
        <v>4443.0429999999997</v>
      </c>
      <c r="D102" s="31">
        <f t="shared" si="5"/>
        <v>174.9229527559055</v>
      </c>
    </row>
    <row r="103" spans="1:4" ht="15" x14ac:dyDescent="0.2">
      <c r="A103" s="34" t="s">
        <v>300</v>
      </c>
      <c r="B103" s="35" t="s">
        <v>154</v>
      </c>
      <c r="C103" s="32">
        <v>16885.316999999999</v>
      </c>
      <c r="D103" s="31">
        <f t="shared" si="5"/>
        <v>664.77625984251972</v>
      </c>
    </row>
    <row r="104" spans="1:4" ht="15" x14ac:dyDescent="0.2">
      <c r="A104" s="34" t="s">
        <v>301</v>
      </c>
      <c r="B104" s="35" t="s">
        <v>155</v>
      </c>
      <c r="C104" s="32">
        <v>17032.071</v>
      </c>
      <c r="D104" s="31">
        <f t="shared" si="5"/>
        <v>670.55397637795284</v>
      </c>
    </row>
    <row r="105" spans="1:4" ht="15" x14ac:dyDescent="0.2">
      <c r="A105" s="34" t="s">
        <v>302</v>
      </c>
      <c r="B105" s="35" t="s">
        <v>156</v>
      </c>
      <c r="C105" s="32">
        <v>6423.9049999999997</v>
      </c>
      <c r="D105" s="31">
        <f t="shared" si="5"/>
        <v>252.90964566929134</v>
      </c>
    </row>
    <row r="106" spans="1:4" ht="15" x14ac:dyDescent="0.2">
      <c r="A106" s="34" t="s">
        <v>303</v>
      </c>
      <c r="B106" s="35" t="s">
        <v>157</v>
      </c>
      <c r="C106" s="44">
        <v>6603.2529999999997</v>
      </c>
      <c r="D106" s="31">
        <f t="shared" si="5"/>
        <v>259.97059055118109</v>
      </c>
    </row>
    <row r="107" spans="1:4" ht="15" x14ac:dyDescent="0.2">
      <c r="A107" s="34" t="s">
        <v>304</v>
      </c>
      <c r="B107" s="35" t="s">
        <v>158</v>
      </c>
      <c r="C107" s="32">
        <v>5756.24</v>
      </c>
      <c r="D107" s="31">
        <f t="shared" si="5"/>
        <v>226.62362204724411</v>
      </c>
    </row>
    <row r="108" spans="1:4" ht="15" x14ac:dyDescent="0.2">
      <c r="A108" s="34" t="s">
        <v>305</v>
      </c>
      <c r="B108" s="35" t="s">
        <v>159</v>
      </c>
      <c r="C108" s="36">
        <v>6023.8379999999997</v>
      </c>
      <c r="D108" s="31">
        <f t="shared" si="5"/>
        <v>237.15897637795277</v>
      </c>
    </row>
    <row r="109" spans="1:4" ht="15" x14ac:dyDescent="0.2">
      <c r="A109" s="34" t="s">
        <v>306</v>
      </c>
      <c r="B109" s="35" t="s">
        <v>160</v>
      </c>
      <c r="C109" s="32">
        <v>5982.1670000000004</v>
      </c>
      <c r="D109" s="31">
        <f t="shared" si="5"/>
        <v>235.51838582677169</v>
      </c>
    </row>
    <row r="110" spans="1:4" ht="15" x14ac:dyDescent="0.2">
      <c r="A110" s="34" t="s">
        <v>307</v>
      </c>
      <c r="B110" s="35" t="s">
        <v>161</v>
      </c>
      <c r="C110" s="32">
        <v>6078.07</v>
      </c>
      <c r="D110" s="31">
        <f t="shared" si="5"/>
        <v>239.29409448818899</v>
      </c>
    </row>
    <row r="111" spans="1:4" ht="15" x14ac:dyDescent="0.2">
      <c r="A111" s="34" t="s">
        <v>308</v>
      </c>
      <c r="B111" s="35" t="s">
        <v>162</v>
      </c>
      <c r="C111" s="32">
        <v>4598.7849999999999</v>
      </c>
      <c r="D111" s="31">
        <f t="shared" si="5"/>
        <v>181.05452755905512</v>
      </c>
    </row>
    <row r="112" spans="1:4" ht="15" x14ac:dyDescent="0.2">
      <c r="A112" s="34" t="s">
        <v>309</v>
      </c>
      <c r="B112" s="35" t="s">
        <v>163</v>
      </c>
      <c r="C112" s="32">
        <v>4896.1000000000004</v>
      </c>
      <c r="D112" s="31">
        <f t="shared" si="5"/>
        <v>192.75984251968507</v>
      </c>
    </row>
    <row r="113" spans="1:4" ht="15" x14ac:dyDescent="0.2">
      <c r="A113" s="30"/>
      <c r="B113" s="30"/>
      <c r="C113" s="30"/>
      <c r="D113" s="30"/>
    </row>
    <row r="114" spans="1:4" ht="15" x14ac:dyDescent="0.2">
      <c r="A114" s="34" t="s">
        <v>310</v>
      </c>
      <c r="B114" s="35" t="s">
        <v>164</v>
      </c>
      <c r="C114" s="32">
        <v>4637.2290000000003</v>
      </c>
      <c r="D114" s="31">
        <f t="shared" si="5"/>
        <v>182.56807086614177</v>
      </c>
    </row>
    <row r="115" spans="1:4" ht="15" x14ac:dyDescent="0.2">
      <c r="A115" s="34" t="s">
        <v>311</v>
      </c>
      <c r="B115" s="35" t="s">
        <v>165</v>
      </c>
      <c r="C115" s="32">
        <v>4677.5010000000002</v>
      </c>
      <c r="D115" s="31">
        <f t="shared" si="5"/>
        <v>184.15358267716536</v>
      </c>
    </row>
    <row r="116" spans="1:4" ht="15" x14ac:dyDescent="0.2">
      <c r="A116" s="34" t="s">
        <v>312</v>
      </c>
      <c r="B116" s="35" t="s">
        <v>166</v>
      </c>
      <c r="C116" s="32">
        <v>6077.3649999999998</v>
      </c>
      <c r="D116" s="31">
        <f t="shared" si="5"/>
        <v>239.26633858267718</v>
      </c>
    </row>
    <row r="117" spans="1:4" ht="15" x14ac:dyDescent="0.2">
      <c r="A117" s="34" t="s">
        <v>313</v>
      </c>
      <c r="B117" s="35" t="s">
        <v>167</v>
      </c>
      <c r="C117" s="44">
        <v>6026.1589999999997</v>
      </c>
      <c r="D117" s="31">
        <f t="shared" si="5"/>
        <v>237.25035433070866</v>
      </c>
    </row>
    <row r="118" spans="1:4" ht="15" x14ac:dyDescent="0.2">
      <c r="A118" s="34" t="s">
        <v>21</v>
      </c>
      <c r="B118" s="35" t="s">
        <v>168</v>
      </c>
      <c r="C118" s="45">
        <v>6214.23</v>
      </c>
      <c r="D118" s="31">
        <f t="shared" si="5"/>
        <v>244.65472440944882</v>
      </c>
    </row>
    <row r="119" spans="1:4" ht="15" x14ac:dyDescent="0.2">
      <c r="A119" s="34" t="s">
        <v>185</v>
      </c>
      <c r="B119" s="35" t="s">
        <v>169</v>
      </c>
      <c r="C119" s="45">
        <v>6167.8010000000004</v>
      </c>
      <c r="D119" s="31">
        <f t="shared" si="5"/>
        <v>242.82681102362207</v>
      </c>
    </row>
    <row r="120" spans="1:4" ht="15" x14ac:dyDescent="0.2">
      <c r="A120" s="34" t="s">
        <v>314</v>
      </c>
      <c r="B120" s="35" t="s">
        <v>170</v>
      </c>
      <c r="C120" s="45">
        <v>5545.058</v>
      </c>
      <c r="D120" s="31">
        <f t="shared" si="5"/>
        <v>218.30937007874016</v>
      </c>
    </row>
    <row r="121" spans="1:4" ht="15" x14ac:dyDescent="0.2">
      <c r="A121" s="34" t="s">
        <v>22</v>
      </c>
      <c r="B121" s="35" t="s">
        <v>171</v>
      </c>
      <c r="C121" s="45">
        <v>5712.5749999999998</v>
      </c>
      <c r="D121" s="31">
        <f t="shared" si="5"/>
        <v>224.90452755905511</v>
      </c>
    </row>
    <row r="122" spans="1:4" ht="15" x14ac:dyDescent="0.2">
      <c r="A122" s="34" t="s">
        <v>315</v>
      </c>
      <c r="B122" s="35" t="s">
        <v>172</v>
      </c>
      <c r="C122" s="44">
        <v>4065.9209999999998</v>
      </c>
      <c r="D122" s="31">
        <f t="shared" si="5"/>
        <v>160.07562992125983</v>
      </c>
    </row>
    <row r="123" spans="1:4" ht="15" x14ac:dyDescent="0.2">
      <c r="A123" s="34" t="s">
        <v>316</v>
      </c>
      <c r="B123" s="35" t="s">
        <v>173</v>
      </c>
      <c r="C123" s="32">
        <v>4031.7559999999999</v>
      </c>
      <c r="D123" s="31">
        <f t="shared" si="5"/>
        <v>158.73055118110236</v>
      </c>
    </row>
    <row r="124" spans="1:4" ht="15" x14ac:dyDescent="0.2">
      <c r="A124" s="30"/>
      <c r="B124" s="30"/>
      <c r="C124" s="30"/>
      <c r="D124" s="30"/>
    </row>
    <row r="125" spans="1:4" ht="15" x14ac:dyDescent="0.2">
      <c r="A125" s="34" t="s">
        <v>317</v>
      </c>
      <c r="B125" s="35" t="s">
        <v>174</v>
      </c>
      <c r="C125" s="32">
        <v>4978.5</v>
      </c>
      <c r="D125" s="31">
        <f t="shared" ref="D123:D138" si="6">C125/25.4</f>
        <v>196.00393700787401</v>
      </c>
    </row>
    <row r="126" spans="1:4" ht="15" x14ac:dyDescent="0.2">
      <c r="A126" s="34" t="s">
        <v>318</v>
      </c>
      <c r="B126" s="35" t="s">
        <v>175</v>
      </c>
      <c r="C126" s="32">
        <v>4207.8019999999997</v>
      </c>
      <c r="D126" s="31">
        <f t="shared" si="6"/>
        <v>165.66149606299211</v>
      </c>
    </row>
    <row r="127" spans="1:4" ht="15" x14ac:dyDescent="0.2">
      <c r="A127" s="34" t="s">
        <v>319</v>
      </c>
      <c r="B127" s="35" t="s">
        <v>176</v>
      </c>
      <c r="C127" s="32">
        <v>4440.05</v>
      </c>
      <c r="D127" s="31">
        <f t="shared" si="6"/>
        <v>174.80511811023624</v>
      </c>
    </row>
    <row r="128" spans="1:4" ht="15" x14ac:dyDescent="0.2">
      <c r="A128" s="34" t="s">
        <v>320</v>
      </c>
      <c r="B128" s="35" t="s">
        <v>177</v>
      </c>
      <c r="C128" s="32">
        <v>3831.4490000000001</v>
      </c>
      <c r="D128" s="31">
        <f t="shared" si="6"/>
        <v>150.84444881889766</v>
      </c>
    </row>
    <row r="129" spans="1:4" ht="15" x14ac:dyDescent="0.2">
      <c r="A129" s="34" t="s">
        <v>321</v>
      </c>
      <c r="B129" s="35" t="s">
        <v>178</v>
      </c>
      <c r="C129" s="32">
        <v>2998.3690000000001</v>
      </c>
      <c r="D129" s="31">
        <f t="shared" si="6"/>
        <v>118.04602362204726</v>
      </c>
    </row>
    <row r="130" spans="1:4" ht="15" x14ac:dyDescent="0.2">
      <c r="A130" s="34" t="s">
        <v>322</v>
      </c>
      <c r="B130" s="35" t="s">
        <v>179</v>
      </c>
      <c r="C130" s="32">
        <v>2242.7779999999998</v>
      </c>
      <c r="D130" s="31">
        <f t="shared" si="6"/>
        <v>88.298346456692911</v>
      </c>
    </row>
    <row r="131" spans="1:4" ht="15" x14ac:dyDescent="0.2">
      <c r="A131" s="34" t="s">
        <v>323</v>
      </c>
      <c r="B131" s="35" t="s">
        <v>180</v>
      </c>
      <c r="C131" s="32">
        <v>2986.6570000000002</v>
      </c>
      <c r="D131" s="31">
        <f t="shared" si="6"/>
        <v>117.58492125984253</v>
      </c>
    </row>
    <row r="132" spans="1:4" ht="15" x14ac:dyDescent="0.2">
      <c r="A132" s="30"/>
      <c r="B132" s="30"/>
      <c r="C132" s="30"/>
      <c r="D132" s="30"/>
    </row>
    <row r="133" spans="1:4" ht="15" x14ac:dyDescent="0.2">
      <c r="A133" s="34" t="s">
        <v>324</v>
      </c>
      <c r="B133" s="35" t="s">
        <v>181</v>
      </c>
      <c r="C133" s="32">
        <v>4789.4679999999998</v>
      </c>
      <c r="D133" s="31">
        <f t="shared" si="6"/>
        <v>188.56173228346458</v>
      </c>
    </row>
    <row r="134" spans="1:4" ht="15" x14ac:dyDescent="0.2">
      <c r="A134" s="34" t="s">
        <v>325</v>
      </c>
      <c r="B134" s="35" t="s">
        <v>182</v>
      </c>
      <c r="C134" s="32">
        <v>5827.2160000000003</v>
      </c>
      <c r="D134" s="31">
        <f t="shared" si="6"/>
        <v>229.41795275590553</v>
      </c>
    </row>
    <row r="135" spans="1:4" ht="15" x14ac:dyDescent="0.2">
      <c r="A135" s="34" t="s">
        <v>326</v>
      </c>
      <c r="B135" s="35" t="s">
        <v>183</v>
      </c>
      <c r="C135" s="32">
        <v>5262.2309999999998</v>
      </c>
      <c r="D135" s="31">
        <f t="shared" si="6"/>
        <v>207.17444881889764</v>
      </c>
    </row>
    <row r="136" spans="1:4" ht="15" x14ac:dyDescent="0.2">
      <c r="A136" s="34" t="s">
        <v>327</v>
      </c>
      <c r="B136" s="35" t="s">
        <v>184</v>
      </c>
      <c r="C136" s="32">
        <v>4707.6689999999999</v>
      </c>
      <c r="D136" s="31">
        <f t="shared" si="6"/>
        <v>185.34129921259844</v>
      </c>
    </row>
    <row r="137" spans="1:4" ht="15" x14ac:dyDescent="0.2">
      <c r="A137" s="34" t="s">
        <v>328</v>
      </c>
      <c r="B137" s="35" t="s">
        <v>186</v>
      </c>
      <c r="C137" s="32">
        <v>4079.5340000000001</v>
      </c>
      <c r="D137" s="31">
        <f t="shared" si="6"/>
        <v>160.61157480314961</v>
      </c>
    </row>
    <row r="138" spans="1:4" ht="15" x14ac:dyDescent="0.2">
      <c r="A138" s="34" t="s">
        <v>329</v>
      </c>
      <c r="B138" s="35" t="s">
        <v>187</v>
      </c>
      <c r="C138" s="32">
        <v>4265.2150000000001</v>
      </c>
      <c r="D138" s="31">
        <f t="shared" si="6"/>
        <v>167.92185039370079</v>
      </c>
    </row>
    <row r="139" spans="1:4" ht="15" x14ac:dyDescent="0.2">
      <c r="A139" s="30"/>
      <c r="B139" s="30"/>
      <c r="C139" s="30"/>
      <c r="D139" s="30"/>
    </row>
    <row r="140" spans="1:4" ht="15" x14ac:dyDescent="0.2">
      <c r="A140" s="34" t="s">
        <v>77</v>
      </c>
      <c r="B140" s="35" t="s">
        <v>188</v>
      </c>
      <c r="C140" s="32">
        <v>7234.7510000000002</v>
      </c>
      <c r="D140" s="31">
        <f t="shared" ref="D140:D192" si="7">C140/25.4</f>
        <v>284.83271653543312</v>
      </c>
    </row>
    <row r="141" spans="1:4" ht="15" x14ac:dyDescent="0.2">
      <c r="A141" s="34" t="s">
        <v>330</v>
      </c>
      <c r="B141" s="35" t="s">
        <v>189</v>
      </c>
      <c r="C141" s="32">
        <v>7434.741</v>
      </c>
      <c r="D141" s="31">
        <f t="shared" si="7"/>
        <v>292.70633858267718</v>
      </c>
    </row>
    <row r="142" spans="1:4" ht="15" x14ac:dyDescent="0.2">
      <c r="A142" s="34" t="s">
        <v>331</v>
      </c>
      <c r="B142" s="35" t="s">
        <v>190</v>
      </c>
      <c r="C142" s="32">
        <v>5294.6760000000004</v>
      </c>
      <c r="D142" s="31">
        <f t="shared" si="7"/>
        <v>208.45181102362207</v>
      </c>
    </row>
    <row r="143" spans="1:4" ht="15" x14ac:dyDescent="0.2">
      <c r="A143" s="34" t="s">
        <v>332</v>
      </c>
      <c r="B143" s="35" t="s">
        <v>191</v>
      </c>
      <c r="C143" s="32">
        <v>5541.9359999999997</v>
      </c>
      <c r="D143" s="31">
        <f t="shared" si="7"/>
        <v>218.1864566929134</v>
      </c>
    </row>
    <row r="144" spans="1:4" ht="15" x14ac:dyDescent="0.2">
      <c r="A144" s="30"/>
      <c r="B144" s="30"/>
      <c r="C144" s="30"/>
      <c r="D144" s="30"/>
    </row>
    <row r="145" spans="1:4" ht="15" x14ac:dyDescent="0.2">
      <c r="A145" s="34" t="s">
        <v>333</v>
      </c>
      <c r="B145" s="35" t="s">
        <v>192</v>
      </c>
      <c r="C145" s="32">
        <v>2762.65</v>
      </c>
      <c r="D145" s="31">
        <f t="shared" si="7"/>
        <v>108.76574803149607</v>
      </c>
    </row>
    <row r="146" spans="1:4" ht="15" x14ac:dyDescent="0.2">
      <c r="A146" s="34" t="s">
        <v>334</v>
      </c>
      <c r="B146" s="35" t="s">
        <v>193</v>
      </c>
      <c r="C146" s="32">
        <v>3158.4369999999999</v>
      </c>
      <c r="D146" s="31">
        <f t="shared" si="7"/>
        <v>124.34791338582677</v>
      </c>
    </row>
    <row r="147" spans="1:4" ht="15" x14ac:dyDescent="0.2">
      <c r="A147" s="34" t="s">
        <v>335</v>
      </c>
      <c r="B147" s="35" t="s">
        <v>194</v>
      </c>
      <c r="C147" s="32">
        <v>3021.4670000000001</v>
      </c>
      <c r="D147" s="31">
        <f t="shared" si="7"/>
        <v>118.95539370078741</v>
      </c>
    </row>
    <row r="148" spans="1:4" ht="15" x14ac:dyDescent="0.2">
      <c r="A148" s="34" t="s">
        <v>336</v>
      </c>
      <c r="B148" s="35" t="s">
        <v>195</v>
      </c>
      <c r="C148" s="32">
        <v>4036.2359999999999</v>
      </c>
      <c r="D148" s="31">
        <f t="shared" si="7"/>
        <v>158.90692913385828</v>
      </c>
    </row>
    <row r="149" spans="1:4" ht="15" x14ac:dyDescent="0.2">
      <c r="A149" s="34" t="s">
        <v>337</v>
      </c>
      <c r="B149" s="35" t="s">
        <v>196</v>
      </c>
      <c r="C149" s="32">
        <v>2339.2640000000001</v>
      </c>
      <c r="D149" s="31">
        <f t="shared" si="7"/>
        <v>92.097007874015759</v>
      </c>
    </row>
    <row r="150" spans="1:4" ht="15" x14ac:dyDescent="0.2">
      <c r="A150" s="34" t="s">
        <v>338</v>
      </c>
      <c r="B150" s="35" t="s">
        <v>197</v>
      </c>
      <c r="C150" s="32">
        <v>3424.2809999999999</v>
      </c>
      <c r="D150" s="31">
        <f t="shared" si="7"/>
        <v>134.8142125984252</v>
      </c>
    </row>
    <row r="151" spans="1:4" ht="15" x14ac:dyDescent="0.2">
      <c r="A151" s="34" t="s">
        <v>339</v>
      </c>
      <c r="B151" s="35" t="s">
        <v>198</v>
      </c>
      <c r="C151" s="32">
        <v>4092.6460000000002</v>
      </c>
      <c r="D151" s="31">
        <f t="shared" si="7"/>
        <v>161.12779527559056</v>
      </c>
    </row>
    <row r="152" spans="1:4" ht="15" x14ac:dyDescent="0.2">
      <c r="A152" s="34" t="s">
        <v>340</v>
      </c>
      <c r="B152" s="35" t="s">
        <v>199</v>
      </c>
      <c r="C152" s="32">
        <v>4404.8580000000002</v>
      </c>
      <c r="D152" s="31">
        <f t="shared" si="7"/>
        <v>173.4196062992126</v>
      </c>
    </row>
    <row r="153" spans="1:4" ht="15" x14ac:dyDescent="0.2">
      <c r="A153" s="34" t="s">
        <v>341</v>
      </c>
      <c r="B153" s="35" t="s">
        <v>200</v>
      </c>
      <c r="C153" s="32">
        <v>2223.2629999999999</v>
      </c>
      <c r="D153" s="31">
        <f t="shared" si="7"/>
        <v>87.53003937007874</v>
      </c>
    </row>
    <row r="154" spans="1:4" ht="15" x14ac:dyDescent="0.2">
      <c r="A154" s="34" t="s">
        <v>342</v>
      </c>
      <c r="B154" s="35" t="s">
        <v>201</v>
      </c>
      <c r="C154" s="32">
        <v>4012.6219999999998</v>
      </c>
      <c r="D154" s="31">
        <f t="shared" si="7"/>
        <v>157.97724409448819</v>
      </c>
    </row>
    <row r="155" spans="1:4" ht="15" x14ac:dyDescent="0.2">
      <c r="A155" s="34" t="s">
        <v>343</v>
      </c>
      <c r="B155" s="35" t="s">
        <v>202</v>
      </c>
      <c r="C155" s="32">
        <v>5107.5050000000001</v>
      </c>
      <c r="D155" s="31">
        <f t="shared" si="7"/>
        <v>201.08287401574805</v>
      </c>
    </row>
    <row r="156" spans="1:4" ht="15" x14ac:dyDescent="0.2">
      <c r="A156" s="34" t="s">
        <v>344</v>
      </c>
      <c r="B156" s="35" t="s">
        <v>203</v>
      </c>
      <c r="C156" s="32">
        <v>2388.31</v>
      </c>
      <c r="D156" s="31">
        <f t="shared" si="7"/>
        <v>94.027952755905517</v>
      </c>
    </row>
    <row r="157" spans="1:4" ht="15" x14ac:dyDescent="0.2">
      <c r="A157" s="34" t="s">
        <v>345</v>
      </c>
      <c r="B157" s="35" t="s">
        <v>204</v>
      </c>
      <c r="C157" s="32">
        <v>4393.7860000000001</v>
      </c>
      <c r="D157" s="31">
        <f t="shared" si="7"/>
        <v>172.98370078740157</v>
      </c>
    </row>
    <row r="158" spans="1:4" ht="15" x14ac:dyDescent="0.2">
      <c r="A158" s="34" t="s">
        <v>346</v>
      </c>
      <c r="B158" s="35" t="s">
        <v>205</v>
      </c>
      <c r="C158" s="32">
        <v>4727.7579999999998</v>
      </c>
      <c r="D158" s="31">
        <f t="shared" si="7"/>
        <v>186.13220472440946</v>
      </c>
    </row>
    <row r="159" spans="1:4" ht="15" x14ac:dyDescent="0.2">
      <c r="A159" s="34" t="s">
        <v>347</v>
      </c>
      <c r="B159" s="35" t="s">
        <v>206</v>
      </c>
      <c r="C159" s="32">
        <v>3029.2689999999998</v>
      </c>
      <c r="D159" s="31">
        <f t="shared" si="7"/>
        <v>119.2625590551181</v>
      </c>
    </row>
    <row r="160" spans="1:4" ht="15" x14ac:dyDescent="0.2">
      <c r="A160" s="34" t="s">
        <v>348</v>
      </c>
      <c r="B160" s="35" t="s">
        <v>207</v>
      </c>
      <c r="C160" s="32">
        <v>2035.4580000000001</v>
      </c>
      <c r="D160" s="31">
        <f t="shared" si="7"/>
        <v>80.136141732283477</v>
      </c>
    </row>
    <row r="161" spans="1:4" ht="15" x14ac:dyDescent="0.2">
      <c r="A161" s="34" t="s">
        <v>349</v>
      </c>
      <c r="B161" s="35" t="s">
        <v>208</v>
      </c>
      <c r="C161" s="32">
        <v>2259.8560000000002</v>
      </c>
      <c r="D161" s="31">
        <f t="shared" si="7"/>
        <v>88.970708661417333</v>
      </c>
    </row>
    <row r="162" spans="1:4" ht="15" x14ac:dyDescent="0.2">
      <c r="A162" s="34" t="s">
        <v>350</v>
      </c>
      <c r="B162" s="35" t="s">
        <v>209</v>
      </c>
      <c r="C162" s="32">
        <v>3643.203</v>
      </c>
      <c r="D162" s="31">
        <f t="shared" si="7"/>
        <v>143.43318897637795</v>
      </c>
    </row>
    <row r="163" spans="1:4" ht="15" x14ac:dyDescent="0.2">
      <c r="A163" s="34" t="s">
        <v>351</v>
      </c>
      <c r="B163" s="35" t="s">
        <v>210</v>
      </c>
      <c r="C163" s="32">
        <v>5816.848</v>
      </c>
      <c r="D163" s="31">
        <f t="shared" si="7"/>
        <v>229.00976377952756</v>
      </c>
    </row>
    <row r="164" spans="1:4" ht="15" x14ac:dyDescent="0.2">
      <c r="A164" s="34" t="s">
        <v>352</v>
      </c>
      <c r="B164" s="35" t="s">
        <v>211</v>
      </c>
      <c r="C164" s="32">
        <v>4248.308</v>
      </c>
      <c r="D164" s="31">
        <f t="shared" si="7"/>
        <v>167.25622047244096</v>
      </c>
    </row>
    <row r="165" spans="1:4" ht="15" x14ac:dyDescent="0.2">
      <c r="A165" s="30"/>
      <c r="B165" s="30"/>
      <c r="C165" s="30"/>
      <c r="D165" s="30"/>
    </row>
    <row r="166" spans="1:4" ht="15" x14ac:dyDescent="0.2">
      <c r="A166" s="34" t="s">
        <v>353</v>
      </c>
      <c r="B166" s="35" t="s">
        <v>212</v>
      </c>
      <c r="C166" s="32">
        <v>4658.9949999999999</v>
      </c>
      <c r="D166" s="31">
        <f t="shared" si="7"/>
        <v>183.42500000000001</v>
      </c>
    </row>
    <row r="167" spans="1:4" ht="15" x14ac:dyDescent="0.2">
      <c r="A167" s="34" t="s">
        <v>354</v>
      </c>
      <c r="B167" s="35" t="s">
        <v>213</v>
      </c>
      <c r="C167" s="32">
        <v>2052.36</v>
      </c>
      <c r="D167" s="31">
        <f t="shared" si="7"/>
        <v>80.80157480314962</v>
      </c>
    </row>
    <row r="168" spans="1:4" ht="15" x14ac:dyDescent="0.2">
      <c r="A168" s="34" t="s">
        <v>355</v>
      </c>
      <c r="B168" s="35" t="s">
        <v>214</v>
      </c>
      <c r="C168" s="32">
        <v>1590.14</v>
      </c>
      <c r="D168" s="31">
        <f t="shared" si="7"/>
        <v>62.603937007874023</v>
      </c>
    </row>
    <row r="169" spans="1:4" ht="15" x14ac:dyDescent="0.2">
      <c r="A169" s="34" t="s">
        <v>356</v>
      </c>
      <c r="B169" s="35" t="s">
        <v>215</v>
      </c>
      <c r="C169" s="32">
        <v>4167.8270000000002</v>
      </c>
      <c r="D169" s="31">
        <f t="shared" si="7"/>
        <v>164.08767716535434</v>
      </c>
    </row>
    <row r="170" spans="1:4" ht="15" x14ac:dyDescent="0.2">
      <c r="A170" s="34" t="s">
        <v>357</v>
      </c>
      <c r="B170" s="35" t="s">
        <v>216</v>
      </c>
      <c r="C170" s="32">
        <v>3597.3690000000001</v>
      </c>
      <c r="D170" s="31">
        <f t="shared" si="7"/>
        <v>141.62870078740158</v>
      </c>
    </row>
    <row r="171" spans="1:4" ht="15" x14ac:dyDescent="0.2">
      <c r="A171" s="34" t="s">
        <v>358</v>
      </c>
      <c r="B171" s="35" t="s">
        <v>217</v>
      </c>
      <c r="C171" s="32">
        <v>2644.701</v>
      </c>
      <c r="D171" s="31">
        <f t="shared" si="7"/>
        <v>104.12208661417324</v>
      </c>
    </row>
    <row r="172" spans="1:4" ht="15" x14ac:dyDescent="0.2">
      <c r="A172" s="34" t="s">
        <v>359</v>
      </c>
      <c r="B172" s="35" t="s">
        <v>218</v>
      </c>
      <c r="C172" s="32">
        <v>3431.2280000000001</v>
      </c>
      <c r="D172" s="31">
        <f t="shared" si="7"/>
        <v>135.08771653543309</v>
      </c>
    </row>
    <row r="173" spans="1:4" ht="15" x14ac:dyDescent="0.2">
      <c r="A173" s="34" t="s">
        <v>360</v>
      </c>
      <c r="B173" s="35" t="s">
        <v>219</v>
      </c>
      <c r="C173" s="32">
        <v>1153.598</v>
      </c>
      <c r="D173" s="31">
        <f t="shared" si="7"/>
        <v>45.41724409448819</v>
      </c>
    </row>
    <row r="174" spans="1:4" ht="15" x14ac:dyDescent="0.2">
      <c r="A174" s="34" t="s">
        <v>361</v>
      </c>
      <c r="B174" s="35" t="s">
        <v>220</v>
      </c>
      <c r="C174" s="32">
        <v>1133.24</v>
      </c>
      <c r="D174" s="31">
        <f t="shared" si="7"/>
        <v>44.615748031496068</v>
      </c>
    </row>
    <row r="175" spans="1:4" ht="15" x14ac:dyDescent="0.2">
      <c r="A175" s="34" t="s">
        <v>362</v>
      </c>
      <c r="B175" s="35" t="s">
        <v>221</v>
      </c>
      <c r="C175" s="32">
        <v>1715.2429999999999</v>
      </c>
      <c r="D175" s="31">
        <f t="shared" si="7"/>
        <v>67.529251968503942</v>
      </c>
    </row>
    <row r="176" spans="1:4" ht="15" x14ac:dyDescent="0.2">
      <c r="A176" s="34" t="s">
        <v>363</v>
      </c>
      <c r="B176" s="35" t="s">
        <v>222</v>
      </c>
      <c r="C176" s="32">
        <v>2476.2060000000001</v>
      </c>
      <c r="D176" s="31">
        <f t="shared" si="7"/>
        <v>97.4884251968504</v>
      </c>
    </row>
    <row r="177" spans="1:4" ht="15" x14ac:dyDescent="0.2">
      <c r="A177" s="34" t="s">
        <v>364</v>
      </c>
      <c r="B177" s="35" t="s">
        <v>223</v>
      </c>
      <c r="C177" s="32">
        <v>3107.63</v>
      </c>
      <c r="D177" s="31">
        <f t="shared" si="7"/>
        <v>122.3476377952756</v>
      </c>
    </row>
    <row r="178" spans="1:4" ht="15" x14ac:dyDescent="0.2">
      <c r="A178" s="34" t="s">
        <v>365</v>
      </c>
      <c r="B178" s="35" t="s">
        <v>224</v>
      </c>
      <c r="C178" s="32">
        <v>3963.4459999999999</v>
      </c>
      <c r="D178" s="31">
        <f t="shared" si="7"/>
        <v>156.0411811023622</v>
      </c>
    </row>
    <row r="179" spans="1:4" ht="15" x14ac:dyDescent="0.2">
      <c r="A179" s="34" t="s">
        <v>366</v>
      </c>
      <c r="B179" s="35" t="s">
        <v>225</v>
      </c>
      <c r="C179" s="32">
        <v>2572.5839999999998</v>
      </c>
      <c r="D179" s="31">
        <f t="shared" si="7"/>
        <v>101.2828346456693</v>
      </c>
    </row>
    <row r="180" spans="1:4" ht="15" x14ac:dyDescent="0.2">
      <c r="A180" s="34" t="s">
        <v>367</v>
      </c>
      <c r="B180" s="35" t="s">
        <v>226</v>
      </c>
      <c r="C180" s="32">
        <v>3928.422</v>
      </c>
      <c r="D180" s="31">
        <f t="shared" si="7"/>
        <v>154.66228346456694</v>
      </c>
    </row>
    <row r="181" spans="1:4" ht="15" x14ac:dyDescent="0.2">
      <c r="A181" s="34" t="s">
        <v>368</v>
      </c>
      <c r="B181" s="35" t="s">
        <v>227</v>
      </c>
      <c r="C181" s="32">
        <v>3229.64</v>
      </c>
      <c r="D181" s="31">
        <f t="shared" si="7"/>
        <v>127.1511811023622</v>
      </c>
    </row>
    <row r="182" spans="1:4" ht="15" x14ac:dyDescent="0.2">
      <c r="A182" s="34" t="s">
        <v>369</v>
      </c>
      <c r="B182" s="35" t="s">
        <v>228</v>
      </c>
      <c r="C182" s="32">
        <v>3297.4960000000001</v>
      </c>
      <c r="D182" s="31">
        <f t="shared" si="7"/>
        <v>129.82267716535435</v>
      </c>
    </row>
    <row r="183" spans="1:4" ht="15" x14ac:dyDescent="0.2">
      <c r="A183" s="34" t="s">
        <v>370</v>
      </c>
      <c r="B183" s="35" t="s">
        <v>229</v>
      </c>
      <c r="C183" s="32">
        <v>2802.6439999999998</v>
      </c>
      <c r="D183" s="31">
        <f t="shared" si="7"/>
        <v>110.34031496062993</v>
      </c>
    </row>
    <row r="184" spans="1:4" ht="15" x14ac:dyDescent="0.2">
      <c r="A184" s="34" t="s">
        <v>371</v>
      </c>
      <c r="B184" s="35" t="s">
        <v>230</v>
      </c>
      <c r="C184" s="32">
        <v>4169.2</v>
      </c>
      <c r="D184" s="31">
        <f t="shared" si="7"/>
        <v>164.14173228346456</v>
      </c>
    </row>
    <row r="185" spans="1:4" ht="15" x14ac:dyDescent="0.2">
      <c r="A185" s="34" t="s">
        <v>372</v>
      </c>
      <c r="B185" s="35" t="s">
        <v>231</v>
      </c>
      <c r="C185" s="32">
        <v>3611.8449999999998</v>
      </c>
      <c r="D185" s="31">
        <f t="shared" si="7"/>
        <v>142.1986220472441</v>
      </c>
    </row>
    <row r="186" spans="1:4" ht="15" x14ac:dyDescent="0.2">
      <c r="A186" s="34" t="s">
        <v>373</v>
      </c>
      <c r="B186" s="35" t="s">
        <v>232</v>
      </c>
      <c r="C186" s="32">
        <v>3006.877</v>
      </c>
      <c r="D186" s="31">
        <f t="shared" si="7"/>
        <v>118.38098425196851</v>
      </c>
    </row>
    <row r="187" spans="1:4" ht="15" x14ac:dyDescent="0.2">
      <c r="A187" s="34" t="s">
        <v>374</v>
      </c>
      <c r="B187" s="35" t="s">
        <v>233</v>
      </c>
      <c r="C187" s="32">
        <v>2123.4499999999998</v>
      </c>
      <c r="D187" s="31">
        <f t="shared" si="7"/>
        <v>83.600393700787393</v>
      </c>
    </row>
    <row r="188" spans="1:4" ht="15" x14ac:dyDescent="0.2">
      <c r="A188" s="34" t="s">
        <v>375</v>
      </c>
      <c r="B188" s="35" t="s">
        <v>234</v>
      </c>
      <c r="C188" s="32">
        <v>4343.37</v>
      </c>
      <c r="D188" s="31">
        <f t="shared" si="7"/>
        <v>170.99881889763779</v>
      </c>
    </row>
    <row r="189" spans="1:4" ht="15" x14ac:dyDescent="0.2">
      <c r="A189" s="34" t="s">
        <v>376</v>
      </c>
      <c r="B189" s="35" t="s">
        <v>235</v>
      </c>
      <c r="C189" s="32">
        <v>3780.9450000000002</v>
      </c>
      <c r="D189" s="31">
        <f t="shared" si="7"/>
        <v>148.85610236220475</v>
      </c>
    </row>
    <row r="190" spans="1:4" ht="15" x14ac:dyDescent="0.2">
      <c r="A190" s="34" t="s">
        <v>377</v>
      </c>
      <c r="B190" s="35" t="s">
        <v>236</v>
      </c>
      <c r="C190" s="32">
        <v>3405.8359999999998</v>
      </c>
      <c r="D190" s="31">
        <f t="shared" si="7"/>
        <v>134.088031496063</v>
      </c>
    </row>
    <row r="191" spans="1:4" ht="15" x14ac:dyDescent="0.2">
      <c r="A191" s="34" t="s">
        <v>378</v>
      </c>
      <c r="B191" s="35" t="s">
        <v>237</v>
      </c>
      <c r="C191" s="32">
        <v>2389.9070000000002</v>
      </c>
      <c r="D191" s="31">
        <f t="shared" si="7"/>
        <v>94.090826771653553</v>
      </c>
    </row>
    <row r="192" spans="1:4" ht="15" x14ac:dyDescent="0.2">
      <c r="A192" s="34" t="s">
        <v>379</v>
      </c>
      <c r="B192" s="35" t="s">
        <v>238</v>
      </c>
      <c r="C192" s="32">
        <v>1178.1079999999999</v>
      </c>
      <c r="D192" s="31">
        <f t="shared" si="7"/>
        <v>46.382204724409448</v>
      </c>
    </row>
    <row r="193" spans="1:4" ht="15" x14ac:dyDescent="0.2">
      <c r="A193" s="34" t="s">
        <v>380</v>
      </c>
      <c r="B193" s="35" t="s">
        <v>239</v>
      </c>
      <c r="C193" s="32">
        <v>5523.9369999999999</v>
      </c>
      <c r="D193" s="31">
        <f t="shared" ref="D193" si="8">C193/25.4</f>
        <v>217.4778346456693</v>
      </c>
    </row>
  </sheetData>
  <sheetProtection autoFilter="0"/>
  <autoFilter ref="A2:D139" xr:uid="{00000000-0009-0000-0000-000003000000}"/>
  <mergeCells count="4">
    <mergeCell ref="A1:D1"/>
    <mergeCell ref="C2:D2"/>
    <mergeCell ref="A2:A3"/>
    <mergeCell ref="B2:B3"/>
  </mergeCells>
  <phoneticPr fontId="3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00.CoverPage</vt:lpstr>
      <vt:lpstr>01.Statement</vt:lpstr>
      <vt:lpstr>02.Revision History</vt:lpstr>
      <vt:lpstr>03.RV1126B-P Package Pin Length</vt:lpstr>
      <vt:lpstr>'00.CoverPage'!Print_Area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office</cp:lastModifiedBy>
  <cp:revision>1</cp:revision>
  <cp:lastPrinted>2010-05-27T23:10:00Z</cp:lastPrinted>
  <dcterms:created xsi:type="dcterms:W3CDTF">2007-07-23T12:47:00Z</dcterms:created>
  <dcterms:modified xsi:type="dcterms:W3CDTF">2025-03-18T09:26:10Z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2052-11.1.0.11636</vt:lpwstr>
  </property>
  <property fmtid="{D5CDD505-2E9C-101B-9397-08002B2CF9AE}" pid="23" name="KSOReadingLayout">
    <vt:bool>true</vt:bool>
  </property>
  <property fmtid="{D5CDD505-2E9C-101B-9397-08002B2CF9AE}" pid="24" name="ICV">
    <vt:lpwstr>A070C5B82D274770AA9D716C24702D39</vt:lpwstr>
  </property>
</Properties>
</file>